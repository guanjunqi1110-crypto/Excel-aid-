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520c130e14f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10e7cbef14f4c68"/>
    <x:sheet xmlns:r="http://schemas.openxmlformats.org/officeDocument/2006/relationships" name="Competency Map" sheetId="2" r:id="R17e8fb97b3384714"/>
    <x:sheet xmlns:r="http://schemas.openxmlformats.org/officeDocument/2006/relationships" name="Question Bank" sheetId="3" r:id="R0e68e2065f1a4dd2"/>
    <x:sheet xmlns:r="http://schemas.openxmlformats.org/officeDocument/2006/relationships" name="Material Library" sheetId="4" r:id="Re78fd876d6724ada"/>
    <x:sheet xmlns:r="http://schemas.openxmlformats.org/officeDocument/2006/relationships" name="Sample Scoring" sheetId="5" r:id="R7b76d0d36a6e4e4c"/>
    <x:sheet xmlns:r="http://schemas.openxmlformats.org/officeDocument/2006/relationships" name="AI Prompt Template" sheetId="6" r:id="Rb51f247418294f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1F2937"/>
      <x:name val="Carlito"/>
    </x:font>
    <x:font>
      <x:b/>
      <x:sz val="11"/>
      <x:name val="Carlito"/>
    </x:font>
    <x:font>
      <x:b/>
      <x:sz val="11"/>
      <x:color rgb="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0F7EF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0" xfId="0" applyNumberFormat="1" applyFont="1" applyFill="0" applyBorder="1" applyAlignment="1">
      <x:alignment horizontal="center" wrapText="1"/>
    </x:xf>
    <x:xf numFmtId="0" fontId="3" borderId="0" xfId="0" applyNumberFormat="1" applyFont="1" applyFill="0" applyBorder="1" applyAlignment="1">
      <x:alignment horizontal="center" vertical="center" wrapText="1"/>
    </x:xf>
    <x:xf numFmtId="0" fontId="0" borderId="1" xfId="0" applyNumberFormat="1" applyFont="1" applyFill="0" applyBorder="1"/>
    <x:xf numFmtId="0" fontId="3" borderId="1" xfId="0" applyNumberFormat="1" applyFont="1" applyFill="0" applyBorder="1"/>
    <x:xf numFmtId="0" fontId="3" borderId="1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horizontal="center" wrapText="1"/>
    </x:xf>
    <x:xf numFmtId="0" fontId="3" borderId="1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borderId="0" xfId="0" applyNumberFormat="1" applyFont="1" applyFill="0" applyBorder="1" applyAlignment="1">
      <x:alignment vertical="top" wrapText="1"/>
    </x:xf>
    <x:xf numFmtId="0" fontId="3" borderId="0" xfId="0" applyNumberFormat="1" applyFont="1" applyFill="0" applyBorder="1" applyAlignment="1">
      <x:alignment vertical="top" wrapText="1"/>
    </x:xf>
    <x:xf numFmtId="0" fontId="3" borderId="0" xfId="0" applyNumberFormat="1" applyFont="1" applyFill="0" applyBorder="1" applyAlignment="1">
      <x:alignment horizontal="center" vertical="top" wrapText="1"/>
    </x:xf>
    <x:xf numFmtId="0" fontId="0" borderId="1" xfId="0" applyNumberFormat="1" applyFont="1" applyFill="0" applyBorder="1" applyAlignment="1">
      <x:alignment vertical="top" wrapText="1"/>
    </x:xf>
    <x:xf numFmtId="0" fontId="3" borderId="1" xfId="0" applyNumberFormat="1" applyFont="1" applyFill="0" applyBorder="1" applyAlignment="1">
      <x:alignment vertical="top" wrapText="1"/>
    </x:xf>
    <x:xf numFmtId="0" fontId="3" borderId="1" xfId="0" applyNumberFormat="1" applyFont="1" applyFill="0" applyBorder="1" applyAlignment="1">
      <x:alignment horizontal="center"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f7e5a87b0242ee" /><Relationship Type="http://schemas.openxmlformats.org/officeDocument/2006/relationships/theme" Target="/xl/theme/theme1.xml" Id="R2823658bda0e4299" /><Relationship Type="http://schemas.openxmlformats.org/officeDocument/2006/relationships/sharedStrings" Target="/xl/sharedStrings.xml" Id="Rad941af4974d4880" /><Relationship Type="http://schemas.openxmlformats.org/officeDocument/2006/relationships/worksheet" Target="/xl/worksheets/sheet1.xml" Id="Ra10e7cbef14f4c68" /><Relationship Type="http://schemas.openxmlformats.org/officeDocument/2006/relationships/worksheet" Target="/xl/worksheets/sheet2.xml" Id="R17e8fb97b3384714" /><Relationship Type="http://schemas.openxmlformats.org/officeDocument/2006/relationships/worksheet" Target="/xl/worksheets/sheet3.xml" Id="R0e68e2065f1a4dd2" /><Relationship Type="http://schemas.openxmlformats.org/officeDocument/2006/relationships/worksheet" Target="/xl/worksheets/sheet4.xml" Id="Re78fd876d6724ada" /><Relationship Type="http://schemas.openxmlformats.org/officeDocument/2006/relationships/worksheet" Target="/xl/worksheets/sheet5.xml" Id="R7b76d0d36a6e4e4c" /><Relationship Type="http://schemas.openxmlformats.org/officeDocument/2006/relationships/worksheet" Target="/xl/worksheets/sheet6.xml" Id="Rb51f247418294f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  <x:col min="3" max="3" width="48" hidden="0" customWidth="1"/>
    <x:col min="4" max="4" width="12" hidden="0" customWidth="1"/>
    <x:col min="5" max="5" width="106.1399993896484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58.59375" hidden="0" customHeight="1">
      <x:c r="A1" s="4" t="str">
        <x:v>Excel Readiness AI Coach - MVP Content Pack</x:v>
      </x:c>
      <x:c r="B1" s="4" t="str"/>
      <x:c r="C1" s="4" t="str"/>
      <x:c r="D1" s="4" t="str"/>
      <x:c r="E1" s="4" t="str">
        <x:v>Resource Metadata Note</x:v>
      </x:c>
      <x:c r="F1" s="4" t="str"/>
      <x:c r="G1" s="4" t="str"/>
      <x:c r="H1" s="4" t="str"/>
    </x:row>
    <x:row r="2" ht="15" hidden="0" customHeight="1">
      <x:c r="E2" s="25" t="str">
        <x:v>Added Author / Source and ISBN / Identifier fields to the Material Library.</x:v>
      </x:c>
    </x:row>
    <x:row r="3" ht="15" hidden="0" customHeight="1">
      <x:c r="A3" s="10" t="str">
        <x:v>Purpose</x:v>
      </x:c>
      <x:c r="B3" t="str">
        <x:v>This workbook organizes the competency map, question bank, material library, scoring logic, and AI prompt template for an adaptive onboarding study tool.</x:v>
      </x:c>
      <x:c r="E3" s="25" t="str">
        <x:v>Most entries in this workbook are original prototype lessons or cases, so they do not have valid ISBNs.</x:v>
      </x:c>
    </x:row>
    <x:row r="4" ht="15" hidden="0" customHeight="1">
      <x:c r="A4" s="10" t="str">
        <x:v>Process</x:v>
      </x:c>
      <x:c r="B4" t="str">
        <x:v>Diagnostic Quiz → Level Classification → Weakness Mapping → Material Sorting → AI Study Guide → Targeted Practice → Reassess / Pass</x:v>
      </x:c>
      <x:c r="E4" s="25" t="str">
        <x:v>For those items, the ISBN field is marked N/A and a note explains that the material is instructor-created or prototype-created.</x:v>
      </x:c>
    </x:row>
    <x:row r="5" ht="15" hidden="0" customHeight="1">
      <x:c r="A5" s="10" t="str">
        <x:v>How to Use</x:v>
      </x:c>
      <x:c r="B5" t="str">
        <x:v>Use the Question Bank as the diagnostic source. Each question is tagged to a module and recommended material. Use Sample Scoring to test the logic.</x:v>
      </x:c>
      <x:c r="E5" s="25" t="str">
        <x:v>For Excel feature-based items, the Source URL points students to official Microsoft Support documentation.</x:v>
      </x:c>
    </x:row>
    <x:row r="6" ht="15" hidden="0" customHeight="1">
      <x:c r="A6" s="10" t="str">
        <x:v>Prototype Fit</x:v>
      </x:c>
      <x:c r="B6" t="str">
        <x:v>The project requires a tangible GenAI-enhanced solution, not only slides. This content pack supports a working proof-of-concept app.</x:v>
      </x:c>
      <x:c r="E6" s="25" t="str">
        <x:v>This keeps the workbook academically honest while still giving students useful follow-up sources.</x:v>
      </x:c>
    </x:row>
    <x:row r="7">
      <x:c r="A7" s="10" t="str">
        <x:v>GenAI Role</x:v>
      </x:c>
      <x:c r="B7" t="str">
        <x:v>AI should generate explanations, feedback, personalized study guides, and targeted practice, while scoring logic remains rule-based.</x:v>
      </x:c>
    </x:row>
    <x:row r="10">
      <x:c r="A10" s="18" t="str">
        <x:v>Rule Area</x:v>
      </x:c>
      <x:c r="B10" s="18" t="str">
        <x:v>Recommended Rule</x:v>
      </x:c>
      <x:c r="C10" s="18" t="str">
        <x:v>Reason</x:v>
      </x:c>
    </x:row>
    <x:row r="11">
      <x:c r="A11" t="str">
        <x:v>Overall Level - Beginner</x:v>
      </x:c>
      <x:c r="B11" t="str">
        <x:v>Overall score &lt; 50%, or misses 2+ Beginner questions</x:v>
      </x:c>
      <x:c r="C11" t="str">
        <x:v>Student likely needs foundational Excel support before business-context tasks.</x:v>
      </x:c>
    </x:row>
    <x:row r="12">
      <x:c r="A12" t="str">
        <x:v>Overall Level - Intermediate</x:v>
      </x:c>
      <x:c r="B12" t="str">
        <x:v>Overall score 50% to 79%</x:v>
      </x:c>
      <x:c r="C12" t="str">
        <x:v>Student has some Excel knowledge but needs targeted practice.</x:v>
      </x:c>
    </x:row>
    <x:row r="13">
      <x:c r="A13" t="str">
        <x:v>Overall Level - Advanced / Pass</x:v>
      </x:c>
      <x:c r="B13" t="str">
        <x:v>Overall score &gt;= 80% and no core module accuracy below 50%</x:v>
      </x:c>
      <x:c r="C13" t="str">
        <x:v>Student is ready to skip required basics and move to optional challenge.</x:v>
      </x:c>
    </x:row>
    <x:row r="14">
      <x:c r="A14" t="str">
        <x:v>Weak Module</x:v>
      </x:c>
      <x:c r="B14" t="str">
        <x:v>Module accuracy &lt; 70%</x:v>
      </x:c>
      <x:c r="C14" t="str">
        <x:v>This identifies where the study guide should focus.</x:v>
      </x:c>
    </x:row>
    <x:row r="15">
      <x:c r="A15" t="str">
        <x:v>Material Sorting</x:v>
      </x:c>
      <x:c r="B15" t="str">
        <x:v>Sort materials by missed module count first, then by student level</x:v>
      </x:c>
      <x:c r="C15" t="str">
        <x:v>This imitates Becker-style targeted review instead of generic studying.</x:v>
      </x:c>
    </x:row>
    <x:row r="16">
      <x:c r="A16" t="str">
        <x:v>Practice Generation</x:v>
      </x:c>
      <x:c r="B16" t="str">
        <x:v>Generate practice only for weak modules; advanced students receive optional challenge</x:v>
      </x:c>
      <x:c r="C16" t="str">
        <x:v>This avoids wasting advanced students' time.</x:v>
      </x:c>
    </x:row>
    <x:row r="17">
      <x:c r="A17" t="str">
        <x:v>GenAI Boundary</x:v>
      </x:c>
      <x:c r="B17" t="str">
        <x:v>Rules calculate score and level; GenAI writes explanations, feedback, study guides, and practice tasks</x:v>
      </x:c>
      <x:c r="C17" t="str">
        <x:v>Fixed logic improves reliability while GenAI adds personalization.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44" hidden="0" customWidth="1"/>
    <x:col min="5" max="5" width="42" hidden="0" customWidth="1"/>
    <x:col min="6" max="6" width="48" hidden="0" customWidth="1"/>
    <x:col min="7" max="7" width="44" hidden="0" customWidth="1"/>
    <x:col min="8" max="8" width="38" hidden="0" customWidth="1"/>
  </x:cols>
  <x:sheetData>
    <x:row r="1" ht="36" customHeight="1">
      <x:c r="A1" s="18" t="str">
        <x:v>Module ID</x:v>
      </x:c>
      <x:c r="B1" s="18" t="str">
        <x:v>Skill Area</x:v>
      </x:c>
      <x:c r="C1" s="18" t="str">
        <x:v>Baseline Level</x:v>
      </x:c>
      <x:c r="D1" s="18" t="str">
        <x:v>Competency Definition</x:v>
      </x:c>
      <x:c r="E1" s="18" t="str">
        <x:v>Example Topics</x:v>
      </x:c>
      <x:c r="F1" s="18" t="str">
        <x:v>Example Task</x:v>
      </x:c>
      <x:c r="G1" s="18" t="str">
        <x:v>Pass / Routing Logic</x:v>
      </x:c>
      <x:c r="H1" s="18" t="str">
        <x:v>GenAI Role</x:v>
      </x:c>
    </x:row>
    <x:row r="2" ht="78" customHeight="1">
      <x:c r="A2" s="26" t="str">
        <x:v>M1</x:v>
      </x:c>
      <x:c r="B2" s="26" t="str">
        <x:v>Workbook Navigation &amp; Formatting</x:v>
      </x:c>
      <x:c r="C2" s="26" t="str">
        <x:v>Beginner</x:v>
      </x:c>
      <x:c r="D2" s="26" t="str">
        <x:v>Students can move around a workbook, format data clearly, and use basic views/tools without breaking the file.</x:v>
      </x:c>
      <x:c r="E2" s="26" t="str">
        <x:v>worksheets, freeze panes, filter, sort, number formats, clean layout</x:v>
      </x:c>
      <x:c r="F2" s="26" t="str">
        <x:v>Open a workbook, freeze the header row, filter transactions, sort by date, and format dollars/percentages.</x:v>
      </x:c>
      <x:c r="G2" s="26" t="str">
        <x:v>Advanced students can pass if they can complete this quickly with no support.</x:v>
      </x:c>
      <x:c r="H2" s="26" t="str">
        <x:v>Generate quick explanations and short workflow-based drills.</x:v>
      </x:c>
    </x:row>
    <x:row r="3" ht="78" customHeight="1">
      <x:c r="A3" s="26" t="str">
        <x:v>M2</x:v>
      </x:c>
      <x:c r="B3" s="26" t="str">
        <x:v>Formula Basics &amp; References</x:v>
      </x:c>
      <x:c r="C3" s="26" t="str">
        <x:v>Beginner to Intermediate</x:v>
      </x:c>
      <x:c r="D3" s="26" t="str">
        <x:v>Students can build and read common formulas and understand how references behave when copied.</x:v>
      </x:c>
      <x:c r="E3" s="26" t="str">
        <x:v>SUM, AVERAGE, COUNT, IF, absolute references, formula vs hardcode, formula checking</x:v>
      </x:c>
      <x:c r="F3" s="26" t="str">
        <x:v>Use SUM/IF and $ references to calculate totals without accidentally changing cell references.</x:v>
      </x:c>
      <x:c r="G3" s="26" t="str">
        <x:v>Required for all students; weak results should trigger extra practice.</x:v>
      </x:c>
      <x:c r="H3" s="26" t="str">
        <x:v>Generate formula explanations, wrong-answer feedback, and practice variations.</x:v>
      </x:c>
    </x:row>
    <x:row r="4" ht="78" customHeight="1">
      <x:c r="A4" s="26" t="str">
        <x:v>M3</x:v>
      </x:c>
      <x:c r="B4" s="26" t="str">
        <x:v>Lookup &amp; Matching</x:v>
      </x:c>
      <x:c r="C4" s="26" t="str">
        <x:v>Intermediate</x:v>
      </x:c>
      <x:c r="D4" s="26" t="str">
        <x:v>Students can connect information across tables, which is common in audit, accounting, and finance workpapers.</x:v>
      </x:c>
      <x:c r="E4" s="26" t="str">
        <x:v>XLOOKUP, VLOOKUP, matching IDs, text vs number issues, lookup array mistakes</x:v>
      </x:c>
      <x:c r="F4" s="26" t="str">
        <x:v>Match invoice IDs from a GL detail file to customer names in a support schedule.</x:v>
      </x:c>
      <x:c r="G4" s="26" t="str">
        <x:v>Students can pass once they can explain and apply XLOOKUP in a simple business case.</x:v>
      </x:c>
      <x:c r="H4" s="26" t="str">
        <x:v>Generate realistic matching scenarios and explain lookup errors.</x:v>
      </x:c>
    </x:row>
    <x:row r="5" ht="78" customHeight="1">
      <x:c r="A5" s="26" t="str">
        <x:v>M4</x:v>
      </x:c>
      <x:c r="B5" s="26" t="str">
        <x:v>Accounting Workflow</x:v>
      </x:c>
      <x:c r="C5" s="26" t="str">
        <x:v>Intermediate</x:v>
      </x:c>
      <x:c r="D5" s="26" t="str">
        <x:v>Students understand Excel tasks in accounting context, not only generic spreadsheet commands.</x:v>
      </x:c>
      <x:c r="E5" s="26" t="str">
        <x:v>tie-out, reconciliation, roll-forward, support, workpaper, hardcode awareness</x:v>
      </x:c>
      <x:c r="F5" s="26" t="str">
        <x:v>Tie a number from a schedule to the financial statement support and explain any variance.</x:v>
      </x:c>
      <x:c r="G5" s="26" t="str">
        <x:v>A student who knows Excel but misses this module needs accounting-context practice.</x:v>
      </x:c>
      <x:c r="H5" s="26" t="str">
        <x:v>Generate business-context examples and mini cases using accounting language.</x:v>
      </x:c>
    </x:row>
    <x:row r="6" ht="78" customHeight="1">
      <x:c r="A6" s="26" t="str">
        <x:v>M5</x:v>
      </x:c>
      <x:c r="B6" s="26" t="str">
        <x:v>Data Summary &amp; Analysis</x:v>
      </x:c>
      <x:c r="C6" s="26" t="str">
        <x:v>Intermediate</x:v>
      </x:c>
      <x:c r="D6" s="26" t="str">
        <x:v>Students can summarize larger datasets and identify basic trends or exceptions.</x:v>
      </x:c>
      <x:c r="E6" s="26" t="str">
        <x:v>PivotTable, SUMIFS, COUNTIFS, variance analysis, conditional formatting, exception review</x:v>
      </x:c>
      <x:c r="F6" s="26" t="str">
        <x:v>Summarize transactions by account/category and identify unusual changes from prior period.</x:v>
      </x:c>
      <x:c r="G6" s="26" t="str">
        <x:v>Advanced students may pass; intermediate students should get targeted exercises.</x:v>
      </x:c>
      <x:c r="H6" s="26" t="str">
        <x:v>Generate analysis tasks and feedback based on weak areas.</x:v>
      </x:c>
    </x:row>
    <x:row r="7" ht="78" customHeight="1">
      <x:c r="A7" s="26" t="str">
        <x:v>M6</x:v>
      </x:c>
      <x:c r="B7" s="26" t="str">
        <x:v>Business Jargon &amp; Professional Context</x:v>
      </x:c>
      <x:c r="C7" s="26" t="str">
        <x:v>Beginner to Intermediate</x:v>
      </x:c>
      <x:c r="D7" s="26" t="str">
        <x:v>Students learn terms they may hear in class, internships, or Big 4-style work.</x:v>
      </x:c>
      <x:c r="E7" s="26" t="str">
        <x:v>covenant, bridge, materiality, deliverable, client support, tickmark, walkthrough</x:v>
      </x:c>
      <x:c r="F7" s="26" t="str">
        <x:v>Explain what a 'bridge' or 'covenant' means in a practical finance/accounting setting.</x:v>
      </x:c>
      <x:c r="G7" s="26" t="str">
        <x:v>Students can pass if they can define terms and use them in context.</x:v>
      </x:c>
      <x:c r="H7" s="26" t="str">
        <x:v>Generate jargon cards with classroom, internship, and business examples.</x:v>
      </x:c>
    </x:row>
    <x:row r="8" ht="78" customHeight="1">
      <x:c r="A8" s="26" t="str">
        <x:v>M7</x:v>
      </x:c>
      <x:c r="B8" s="26" t="str">
        <x:v>Optional Advanced Analytics</x:v>
      </x:c>
      <x:c r="C8" s="26" t="str">
        <x:v>Advanced / Optional</x:v>
      </x:c>
      <x:c r="D8" s="26" t="str">
        <x:v>Students who already pass the core modules can explore tools beyond baseline readiness.</x:v>
      </x:c>
      <x:c r="E8" s="26" t="str">
        <x:v>Power Query, basic automation, Alteryx awareness, Tableau/Power BI awareness</x:v>
      </x:c>
      <x:c r="F8" s="26" t="str">
        <x:v>Clean a small dataset with Power Query or explain when automation is useful.</x:v>
      </x:c>
      <x:c r="G8" s="26" t="str">
        <x:v>Not required for baseline readiness; used as optional challenge.</x:v>
      </x:c>
      <x:c r="H8" s="26" t="str">
        <x:v>Generate stretch tasks so advanced students are not forced to repeat basics.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14" hidden="0" customWidth="1"/>
    <x:col min="5" max="5" width="56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16" hidden="0" customWidth="1"/>
    <x:col min="11" max="11" width="56" hidden="0" customWidth="1"/>
    <x:col min="12" max="12" width="22" hidden="0" customWidth="1"/>
  </x:cols>
  <x:sheetData>
    <x:row r="1" ht="36" customHeight="1">
      <x:c r="A1" s="18" t="str">
        <x:v>Question ID</x:v>
      </x:c>
      <x:c r="B1" s="18" t="str">
        <x:v>Module ID</x:v>
      </x:c>
      <x:c r="C1" s="18" t="str">
        <x:v>Module Name</x:v>
      </x:c>
      <x:c r="D1" s="18" t="str">
        <x:v>Difficulty</x:v>
      </x:c>
      <x:c r="E1" s="18" t="str">
        <x:v>Question</x:v>
      </x:c>
      <x:c r="F1" s="18" t="str">
        <x:v>Option A</x:v>
      </x:c>
      <x:c r="G1" s="18" t="str">
        <x:v>Option B</x:v>
      </x:c>
      <x:c r="H1" s="18" t="str">
        <x:v>Option C</x:v>
      </x:c>
      <x:c r="I1" s="18" t="str">
        <x:v>Option D</x:v>
      </x:c>
      <x:c r="J1" s="18" t="str">
        <x:v>Correct Answer</x:v>
      </x:c>
      <x:c r="K1" s="18" t="str">
        <x:v>Explanation</x:v>
      </x:c>
      <x:c r="L1" s="18" t="str">
        <x:v>Recommended Material IDs</x:v>
      </x:c>
    </x:row>
    <x:row r="2" ht="72" customHeight="1">
      <x:c r="A2" s="26" t="str">
        <x:v>Q01</x:v>
      </x:c>
      <x:c r="B2" s="26" t="str">
        <x:v>M1</x:v>
      </x:c>
      <x:c r="C2" s="26" t="str">
        <x:v>Workbook Navigation &amp; Formatting</x:v>
      </x:c>
      <x:c r="D2" s="26" t="str">
        <x:v>Beginner</x:v>
      </x:c>
      <x:c r="E2" s="26" t="str">
        <x:v>You are reviewing a worksheet with 1,000 transaction rows. What should you use to keep the header row visible while scrolling?</x:v>
      </x:c>
      <x:c r="F2" s="26" t="str">
        <x:v>Sort</x:v>
      </x:c>
      <x:c r="G2" s="26" t="str">
        <x:v>Freeze Panes</x:v>
      </x:c>
      <x:c r="H2" s="26" t="str">
        <x:v>Format Painter</x:v>
      </x:c>
      <x:c r="I2" s="26" t="str">
        <x:v>Merge Cells</x:v>
      </x:c>
      <x:c r="J2" s="26" t="str">
        <x:v>B</x:v>
      </x:c>
      <x:c r="K2" s="26" t="str">
        <x:v>Freeze Panes keeps selected rows or columns visible while you move through the worksheet.</x:v>
      </x:c>
      <x:c r="L2" s="26" t="str">
        <x:v>MAT-02</x:v>
      </x:c>
    </x:row>
    <x:row r="3" ht="72" customHeight="1">
      <x:c r="A3" s="26" t="str">
        <x:v>Q02</x:v>
      </x:c>
      <x:c r="B3" s="26" t="str">
        <x:v>M1</x:v>
      </x:c>
      <x:c r="C3" s="26" t="str">
        <x:v>Workbook Navigation &amp; Formatting</x:v>
      </x:c>
      <x:c r="D3" s="26" t="str">
        <x:v>Beginner</x:v>
      </x:c>
      <x:c r="E3" s="26" t="str">
        <x:v>You only want to see transactions from one vendor without deleting other rows. Which tool should you use?</x:v>
      </x:c>
      <x:c r="F3" s="26" t="str">
        <x:v>Filter</x:v>
      </x:c>
      <x:c r="G3" s="26" t="str">
        <x:v>Delete Rows</x:v>
      </x:c>
      <x:c r="H3" s="26" t="str">
        <x:v>Paste Values</x:v>
      </x:c>
      <x:c r="I3" s="26" t="str">
        <x:v>Hide Workbook</x:v>
      </x:c>
      <x:c r="J3" s="26" t="str">
        <x:v>A</x:v>
      </x:c>
      <x:c r="K3" s="26" t="str">
        <x:v>A filter temporarily displays only rows that meet criteria while keeping the full dataset intact.</x:v>
      </x:c>
      <x:c r="L3" s="26" t="str">
        <x:v>MAT-02</x:v>
      </x:c>
    </x:row>
    <x:row r="4" ht="72" customHeight="1">
      <x:c r="A4" s="26" t="str">
        <x:v>Q03</x:v>
      </x:c>
      <x:c r="B4" s="26" t="str">
        <x:v>M1</x:v>
      </x:c>
      <x:c r="C4" s="26" t="str">
        <x:v>Workbook Navigation &amp; Formatting</x:v>
      </x:c>
      <x:c r="D4" s="26" t="str">
        <x:v>Beginner</x:v>
      </x:c>
      <x:c r="E4" s="26" t="str">
        <x:v>A column contains percentages, but the numbers show as decimals. What should you adjust?</x:v>
      </x:c>
      <x:c r="F4" s="26" t="str">
        <x:v>Cell fill color</x:v>
      </x:c>
      <x:c r="G4" s="26" t="str">
        <x:v>Number format</x:v>
      </x:c>
      <x:c r="H4" s="26" t="str">
        <x:v>Sheet name</x:v>
      </x:c>
      <x:c r="I4" s="26" t="str">
        <x:v>Page orientation</x:v>
      </x:c>
      <x:c r="J4" s="26" t="str">
        <x:v>B</x:v>
      </x:c>
      <x:c r="K4" s="26" t="str">
        <x:v>Number format controls whether values appear as currency, percentage, date, decimal, and so on.</x:v>
      </x:c>
      <x:c r="L4" s="26" t="str">
        <x:v>MAT-03</x:v>
      </x:c>
    </x:row>
    <x:row r="5" ht="72" customHeight="1">
      <x:c r="A5" s="26" t="str">
        <x:v>Q04</x:v>
      </x:c>
      <x:c r="B5" s="26" t="str">
        <x:v>M2</x:v>
      </x:c>
      <x:c r="C5" s="26" t="str">
        <x:v>Formula Basics &amp; References</x:v>
      </x:c>
      <x:c r="D5" s="26" t="str">
        <x:v>Beginner</x:v>
      </x:c>
      <x:c r="E5" s="26" t="str">
        <x:v>Which reference locks both the column and the row when copied?</x:v>
      </x:c>
      <x:c r="F5" s="26" t="str">
        <x:v>A1</x:v>
      </x:c>
      <x:c r="G5" s="26" t="str">
        <x:v>$A1</x:v>
      </x:c>
      <x:c r="H5" s="26" t="str">
        <x:v>A$1</x:v>
      </x:c>
      <x:c r="I5" s="26" t="str">
        <x:v>$A$1</x:v>
      </x:c>
      <x:c r="J5" s="26" t="str">
        <x:v>D</x:v>
      </x:c>
      <x:c r="K5" s="26" t="str">
        <x:v>$A$1 is an absolute reference because both the column and row are locked.</x:v>
      </x:c>
      <x:c r="L5" s="26" t="str">
        <x:v>MAT-04</x:v>
      </x:c>
    </x:row>
    <x:row r="6" ht="72" customHeight="1">
      <x:c r="A6" s="26" t="str">
        <x:v>Q05</x:v>
      </x:c>
      <x:c r="B6" s="26" t="str">
        <x:v>M2</x:v>
      </x:c>
      <x:c r="C6" s="26" t="str">
        <x:v>Formula Basics &amp; References</x:v>
      </x:c>
      <x:c r="D6" s="26" t="str">
        <x:v>Beginner</x:v>
      </x:c>
      <x:c r="E6" s="26" t="str">
        <x:v>Which formula returns 'Pass' if the score in B2 is at least 80 and 'Review' otherwise?</x:v>
      </x:c>
      <x:c r="F6" s="26" t="str">
        <x:f>IF(B2&gt;=80,"Pass","Review")</x:f>
        <x:v>Pass</x:v>
      </x:c>
      <x:c r="G6" s="26" t="n">
        <x:f>SUM(B2&gt;=80)</x:f>
        <x:v>1</x:v>
      </x:c>
      <x:c r="H6" s="26" t="n">
        <x:f>COUNTIF(B2,"Pass")</x:f>
        <x:v>0</x:v>
      </x:c>
      <x:c r="I6" s="26" t="n">
        <x:f>AVERAGE(B2,"Review")</x:f>
        <x:v>0</x:v>
      </x:c>
      <x:c r="J6" s="26" t="str">
        <x:v>A</x:v>
      </x:c>
      <x:c r="K6" s="26" t="str">
        <x:v>IF tests a condition and returns one result if true and another if false.</x:v>
      </x:c>
      <x:c r="L6" s="26" t="str">
        <x:v>MAT-05</x:v>
      </x:c>
    </x:row>
    <x:row r="7" ht="72" customHeight="1">
      <x:c r="A7" s="26" t="str">
        <x:v>Q06</x:v>
      </x:c>
      <x:c r="B7" s="26" t="str">
        <x:v>M2</x:v>
      </x:c>
      <x:c r="C7" s="26" t="str">
        <x:v>Formula Basics &amp; References</x:v>
      </x:c>
      <x:c r="D7" s="26" t="str">
        <x:v>Intermediate</x:v>
      </x:c>
      <x:c r="E7" s="26" t="str">
        <x:v>In a workpaper, why can hardcoded numbers be risky?</x:v>
      </x:c>
      <x:c r="F7" s="26" t="str">
        <x:v>They always calculate faster</x:v>
      </x:c>
      <x:c r="G7" s="26" t="str">
        <x:v>They can hide the source of a number and break updates</x:v>
      </x:c>
      <x:c r="H7" s="26" t="str">
        <x:v>They make files smaller</x:v>
      </x:c>
      <x:c r="I7" s="26" t="str">
        <x:v>They automatically tie to support</x:v>
      </x:c>
      <x:c r="J7" s="26" t="str">
        <x:v>B</x:v>
      </x:c>
      <x:c r="K7" s="26" t="str">
        <x:v>Hardcodes may be necessary sometimes, but they create risk when the source is unclear or the file needs updates.</x:v>
      </x:c>
      <x:c r="L7" s="26" t="str">
        <x:v>MAT-06</x:v>
      </x:c>
    </x:row>
    <x:row r="8" ht="72" customHeight="1">
      <x:c r="A8" s="26" t="str">
        <x:v>Q07</x:v>
      </x:c>
      <x:c r="B8" s="26" t="str">
        <x:v>M3</x:v>
      </x:c>
      <x:c r="C8" s="26" t="str">
        <x:v>Lookup &amp; Matching</x:v>
      </x:c>
      <x:c r="D8" s="26" t="str">
        <x:v>Intermediate</x:v>
      </x:c>
      <x:c r="E8" s="26" t="str">
        <x:v>You need to match invoice IDs from a general ledger tab to customer names in another table. Which function is usually most appropriate?</x:v>
      </x:c>
      <x:c r="F8" s="26" t="str">
        <x:v>XLOOKUP</x:v>
      </x:c>
      <x:c r="G8" s="26" t="str">
        <x:v>RAND</x:v>
      </x:c>
      <x:c r="H8" s="26" t="str">
        <x:v>CONCAT</x:v>
      </x:c>
      <x:c r="I8" s="26" t="str">
        <x:v>SUBTOTAL</x:v>
      </x:c>
      <x:c r="J8" s="26" t="str">
        <x:v>A</x:v>
      </x:c>
      <x:c r="K8" s="26" t="str">
        <x:v>XLOOKUP is commonly used to retrieve related information from another table using an ID or key.</x:v>
      </x:c>
      <x:c r="L8" s="26" t="str">
        <x:v>MAT-07</x:v>
      </x:c>
    </x:row>
    <x:row r="9" ht="72" customHeight="1">
      <x:c r="A9" s="26" t="str">
        <x:v>Q08</x:v>
      </x:c>
      <x:c r="B9" s="26" t="str">
        <x:v>M3</x:v>
      </x:c>
      <x:c r="C9" s="26" t="str">
        <x:v>Lookup &amp; Matching</x:v>
      </x:c>
      <x:c r="D9" s="26" t="str">
        <x:v>Intermediate</x:v>
      </x:c>
      <x:c r="E9" s="26" t="str">
        <x:v>A lookup is failing even though the invoice IDs look the same. What is one common cause?</x:v>
      </x:c>
      <x:c r="F9" s="26" t="str">
        <x:v>One list may store IDs as text while the other stores them as numbers</x:v>
      </x:c>
      <x:c r="G9" s="26" t="str">
        <x:v>The workbook has more than one sheet</x:v>
      </x:c>
      <x:c r="H9" s="26" t="str">
        <x:v>The cells are too wide</x:v>
      </x:c>
      <x:c r="I9" s="26" t="str">
        <x:v>The file name is too long</x:v>
      </x:c>
      <x:c r="J9" s="26" t="str">
        <x:v>A</x:v>
      </x:c>
      <x:c r="K9" s="26" t="str">
        <x:v>Matching can fail when data types differ, such as text-formatted IDs versus numeric IDs.</x:v>
      </x:c>
      <x:c r="L9" s="26" t="str">
        <x:v>MAT-08</x:v>
      </x:c>
    </x:row>
    <x:row r="10" ht="72" customHeight="1">
      <x:c r="A10" s="26" t="str">
        <x:v>Q09</x:v>
      </x:c>
      <x:c r="B10" s="26" t="str">
        <x:v>M3</x:v>
      </x:c>
      <x:c r="C10" s="26" t="str">
        <x:v>Lookup &amp; Matching</x:v>
      </x:c>
      <x:c r="D10" s="26" t="str">
        <x:v>Advanced</x:v>
      </x:c>
      <x:c r="E10" s="26" t="str">
        <x:v>Which XLOOKUP mistake commonly causes a formula to return the wrong result?</x:v>
      </x:c>
      <x:c r="F10" s="26" t="str">
        <x:v>Using the lookup array and return array from different row ranges</x:v>
      </x:c>
      <x:c r="G10" s="26" t="str">
        <x:v>Using a worksheet name</x:v>
      </x:c>
      <x:c r="H10" s="26" t="str">
        <x:v>Using currency formatting</x:v>
      </x:c>
      <x:c r="I10" s="26" t="str">
        <x:v>Using freeze panes</x:v>
      </x:c>
      <x:c r="J10" s="26" t="str">
        <x:v>A</x:v>
      </x:c>
      <x:c r="K10" s="26" t="str">
        <x:v>The lookup and return arrays must line up; otherwise the returned value may not correspond to the matched item.</x:v>
      </x:c>
      <x:c r="L10" s="26" t="str">
        <x:v>MAT-07</x:v>
      </x:c>
    </x:row>
    <x:row r="11" ht="72" customHeight="1">
      <x:c r="A11" s="26" t="str">
        <x:v>Q10</x:v>
      </x:c>
      <x:c r="B11" s="26" t="str">
        <x:v>M4</x:v>
      </x:c>
      <x:c r="C11" s="26" t="str">
        <x:v>Accounting Workflow</x:v>
      </x:c>
      <x:c r="D11" s="26" t="str">
        <x:v>Intermediate</x:v>
      </x:c>
      <x:c r="E11" s="26" t="str">
        <x:v>In audit or accounting work, what does it usually mean to 'tie-out' a number?</x:v>
      </x:c>
      <x:c r="F11" s="26" t="str">
        <x:v>Change the number to match the budget</x:v>
      </x:c>
      <x:c r="G11" s="26" t="str">
        <x:v>Agree the number across support, schedules, and workpapers</x:v>
      </x:c>
      <x:c r="H11" s="26" t="str">
        <x:v>Delete differences below materiality</x:v>
      </x:c>
      <x:c r="I11" s="26" t="str">
        <x:v>Format the number as currency</x:v>
      </x:c>
      <x:c r="J11" s="26" t="str">
        <x:v>B</x:v>
      </x:c>
      <x:c r="K11" s="26" t="str">
        <x:v>A tie-out checks that a number agrees across related documents or schedules.</x:v>
      </x:c>
      <x:c r="L11" s="26" t="str">
        <x:v>MAT-09</x:v>
      </x:c>
    </x:row>
    <x:row r="12" ht="72" customHeight="1">
      <x:c r="A12" s="26" t="str">
        <x:v>Q11</x:v>
      </x:c>
      <x:c r="B12" s="26" t="str">
        <x:v>M4</x:v>
      </x:c>
      <x:c r="C12" s="26" t="str">
        <x:v>Accounting Workflow</x:v>
      </x:c>
      <x:c r="D12" s="26" t="str">
        <x:v>Intermediate</x:v>
      </x:c>
      <x:c r="E12" s="26" t="str">
        <x:v>What is the main purpose of a reconciliation?</x:v>
      </x:c>
      <x:c r="F12" s="26" t="str">
        <x:v>To prove two related records agree or explain the difference</x:v>
      </x:c>
      <x:c r="G12" s="26" t="str">
        <x:v>To make a chart more attractive</x:v>
      </x:c>
      <x:c r="H12" s="26" t="str">
        <x:v>To remove all formulas</x:v>
      </x:c>
      <x:c r="I12" s="26" t="str">
        <x:v>To rename every worksheet</x:v>
      </x:c>
      <x:c r="J12" s="26" t="str">
        <x:v>A</x:v>
      </x:c>
      <x:c r="K12" s="26" t="str">
        <x:v>A reconciliation compares two sources and identifies or explains differences.</x:v>
      </x:c>
      <x:c r="L12" s="26" t="str">
        <x:v>MAT-09</x:v>
      </x:c>
    </x:row>
    <x:row r="13" ht="72" customHeight="1">
      <x:c r="A13" s="26" t="str">
        <x:v>Q12</x:v>
      </x:c>
      <x:c r="B13" s="26" t="str">
        <x:v>M4</x:v>
      </x:c>
      <x:c r="C13" s="26" t="str">
        <x:v>Accounting Workflow</x:v>
      </x:c>
      <x:c r="D13" s="26" t="str">
        <x:v>Intermediate</x:v>
      </x:c>
      <x:c r="E13" s="26" t="str">
        <x:v>A roll-forward schedule usually shows which kind of movement?</x:v>
      </x:c>
      <x:c r="F13" s="26" t="str">
        <x:v>Beginning balance to ending balance</x:v>
      </x:c>
      <x:c r="G13" s="26" t="str">
        <x:v>Font size to row height</x:v>
      </x:c>
      <x:c r="H13" s="26" t="str">
        <x:v>Email subject to attachment name</x:v>
      </x:c>
      <x:c r="I13" s="26" t="str">
        <x:v>Chart color to chart title</x:v>
      </x:c>
      <x:c r="J13" s="26" t="str">
        <x:v>A</x:v>
      </x:c>
      <x:c r="K13" s="26" t="str">
        <x:v>A roll-forward explains how a balance moves from the beginning of a period to the end.</x:v>
      </x:c>
      <x:c r="L13" s="26" t="str">
        <x:v>MAT-10</x:v>
      </x:c>
    </x:row>
    <x:row r="14" ht="72" customHeight="1">
      <x:c r="A14" s="26" t="str">
        <x:v>Q13</x:v>
      </x:c>
      <x:c r="B14" s="26" t="str">
        <x:v>M5</x:v>
      </x:c>
      <x:c r="C14" s="26" t="str">
        <x:v>Data Summary &amp; Analysis</x:v>
      </x:c>
      <x:c r="D14" s="26" t="str">
        <x:v>Intermediate</x:v>
      </x:c>
      <x:c r="E14" s="26" t="str">
        <x:v>Which Excel feature is best for quickly summarizing transactions by account or category?</x:v>
      </x:c>
      <x:c r="F14" s="26" t="str">
        <x:v>PivotTable</x:v>
      </x:c>
      <x:c r="G14" s="26" t="str">
        <x:v>Merge Cells</x:v>
      </x:c>
      <x:c r="H14" s="26" t="str">
        <x:v>Format Painter</x:v>
      </x:c>
      <x:c r="I14" s="26" t="str">
        <x:v>Workbook Theme</x:v>
      </x:c>
      <x:c r="J14" s="26" t="str">
        <x:v>A</x:v>
      </x:c>
      <x:c r="K14" s="26" t="str">
        <x:v>A PivotTable summarizes and groups data without manually writing each formula.</x:v>
      </x:c>
      <x:c r="L14" s="26" t="str">
        <x:v>MAT-11</x:v>
      </x:c>
    </x:row>
    <x:row r="15" ht="72" customHeight="1">
      <x:c r="A15" s="26" t="str">
        <x:v>Q14</x:v>
      </x:c>
      <x:c r="B15" s="26" t="str">
        <x:v>M5</x:v>
      </x:c>
      <x:c r="C15" s="26" t="str">
        <x:v>Data Summary &amp; Analysis</x:v>
      </x:c>
      <x:c r="D15" s="26" t="str">
        <x:v>Intermediate</x:v>
      </x:c>
      <x:c r="E15" s="26" t="str">
        <x:v>You want Excel to highlight amounts greater than $10,000 automatically. Which feature should you use?</x:v>
      </x:c>
      <x:c r="F15" s="26" t="str">
        <x:v>Conditional Formatting</x:v>
      </x:c>
      <x:c r="G15" s="26" t="str">
        <x:v>Hide Rows</x:v>
      </x:c>
      <x:c r="H15" s="26" t="str">
        <x:v>Page Break Preview</x:v>
      </x:c>
      <x:c r="I15" s="26" t="str">
        <x:v>Workbook Protection</x:v>
      </x:c>
      <x:c r="J15" s="26" t="str">
        <x:v>A</x:v>
      </x:c>
      <x:c r="K15" s="26" t="str">
        <x:v>Conditional Formatting applies visual rules based on cell values.</x:v>
      </x:c>
      <x:c r="L15" s="26" t="str">
        <x:v>MAT-12</x:v>
      </x:c>
    </x:row>
    <x:row r="16" ht="72" customHeight="1">
      <x:c r="A16" s="26" t="str">
        <x:v>Q15</x:v>
      </x:c>
      <x:c r="B16" s="26" t="str">
        <x:v>M5</x:v>
      </x:c>
      <x:c r="C16" s="26" t="str">
        <x:v>Data Summary &amp; Analysis</x:v>
      </x:c>
      <x:c r="D16" s="26" t="str">
        <x:v>Intermediate</x:v>
      </x:c>
      <x:c r="E16" s="26" t="str">
        <x:v>In a basic variance analysis, what are you usually comparing?</x:v>
      </x:c>
      <x:c r="F16" s="26" t="str">
        <x:v>Two versions of a number, such as actual vs budget or current year vs prior year</x:v>
      </x:c>
      <x:c r="G16" s="26" t="str">
        <x:v>Two worksheet tab colors</x:v>
      </x:c>
      <x:c r="H16" s="26" t="str">
        <x:v>Two font sizes</x:v>
      </x:c>
      <x:c r="I16" s="26" t="str">
        <x:v>Two file names</x:v>
      </x:c>
      <x:c r="J16" s="26" t="str">
        <x:v>A</x:v>
      </x:c>
      <x:c r="K16" s="26" t="str">
        <x:v>Variance analysis explains differences between comparable numbers across periods, budgets, or expectations.</x:v>
      </x:c>
      <x:c r="L16" s="26" t="str">
        <x:v>MAT-12</x:v>
      </x:c>
    </x:row>
    <x:row r="17" ht="72" customHeight="1">
      <x:c r="A17" s="26" t="str">
        <x:v>Q16</x:v>
      </x:c>
      <x:c r="B17" s="26" t="str">
        <x:v>M6</x:v>
      </x:c>
      <x:c r="C17" s="26" t="str">
        <x:v>Business Jargon &amp; Professional Context</x:v>
      </x:c>
      <x:c r="D17" s="26" t="str">
        <x:v>Beginner</x:v>
      </x:c>
      <x:c r="E17" s="26" t="str">
        <x:v>In a spreadsheet or workpaper, what does 'hardcode' usually mean?</x:v>
      </x:c>
      <x:c r="F17" s="26" t="str">
        <x:v>A number typed directly into a cell instead of linked by formula</x:v>
      </x:c>
      <x:c r="G17" s="26" t="str">
        <x:v>A password-protected file</x:v>
      </x:c>
      <x:c r="H17" s="26" t="str">
        <x:v>A PivotTable field</x:v>
      </x:c>
      <x:c r="I17" s="26" t="str">
        <x:v>A chart label</x:v>
      </x:c>
      <x:c r="J17" s="26" t="str">
        <x:v>A</x:v>
      </x:c>
      <x:c r="K17" s="26" t="str">
        <x:v>A hardcode is a manually entered value. It may be acceptable if documented, but risky if unsupported.</x:v>
      </x:c>
      <x:c r="L17" s="26" t="str">
        <x:v>MAT-13</x:v>
      </x:c>
    </x:row>
    <x:row r="18" ht="72" customHeight="1">
      <x:c r="A18" s="26" t="str">
        <x:v>Q17</x:v>
      </x:c>
      <x:c r="B18" s="26" t="str">
        <x:v>M6</x:v>
      </x:c>
      <x:c r="C18" s="26" t="str">
        <x:v>Business Jargon &amp; Professional Context</x:v>
      </x:c>
      <x:c r="D18" s="26" t="str">
        <x:v>Intermediate</x:v>
      </x:c>
      <x:c r="E18" s="26" t="str">
        <x:v>In finance or accounting, what is a covenant?</x:v>
      </x:c>
      <x:c r="F18" s="26" t="str">
        <x:v>A restriction, requirement, or condition in an agreement, often related to debt</x:v>
      </x:c>
      <x:c r="G18" s="26" t="str">
        <x:v>A worksheet format</x:v>
      </x:c>
      <x:c r="H18" s="26" t="str">
        <x:v>A chart type</x:v>
      </x:c>
      <x:c r="I18" s="26" t="str">
        <x:v>A shortcut for copying formulas</x:v>
      </x:c>
      <x:c r="J18" s="26" t="str">
        <x:v>A</x:v>
      </x:c>
      <x:c r="K18" s="26" t="str">
        <x:v>A covenant is a contractual condition; for example, a borrower may need to maintain certain ratios.</x:v>
      </x:c>
      <x:c r="L18" s="26" t="str">
        <x:v>MAT-14</x:v>
      </x:c>
    </x:row>
    <x:row r="19" ht="72" customHeight="1">
      <x:c r="A19" s="26" t="str">
        <x:v>Q18</x:v>
      </x:c>
      <x:c r="B19" s="26" t="str">
        <x:v>M6</x:v>
      </x:c>
      <x:c r="C19" s="26" t="str">
        <x:v>Business Jargon &amp; Professional Context</x:v>
      </x:c>
      <x:c r="D19" s="26" t="str">
        <x:v>Intermediate</x:v>
      </x:c>
      <x:c r="E19" s="26" t="str">
        <x:v>In business analysis, what does a 'bridge' usually help explain?</x:v>
      </x:c>
      <x:c r="F19" s="26" t="str">
        <x:v>How one number moves to another through drivers or adjustments</x:v>
      </x:c>
      <x:c r="G19" s="26" t="str">
        <x:v>How to freeze rows</x:v>
      </x:c>
      <x:c r="H19" s="26" t="str">
        <x:v>How to change a file extension</x:v>
      </x:c>
      <x:c r="I19" s="26" t="str">
        <x:v>How to merge cells</x:v>
      </x:c>
      <x:c r="J19" s="26" t="str">
        <x:v>A</x:v>
      </x:c>
      <x:c r="K19" s="26" t="str">
        <x:v>A bridge explains the movement between two figures, such as prior-year EBITDA to current-year EBITDA.</x:v>
      </x:c>
      <x:c r="L19" s="26" t="str">
        <x:v>MAT-14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20" hidden="0" customWidth="1"/>
    <x:col min="5" max="5" width="16" hidden="0" customWidth="1"/>
    <x:col min="6" max="6" width="34" hidden="0" customWidth="1"/>
    <x:col min="7" max="7" width="56" hidden="0" customWidth="1"/>
    <x:col min="8" max="8" width="44" hidden="0" customWidth="1"/>
    <x:col min="9" max="9" width="44" hidden="0" customWidth="1"/>
    <x:col min="10" max="10" width="27.139999389648438" hidden="0" customWidth="1"/>
    <x:col min="11" max="11" width="24.860000610351562" hidden="0" customWidth="1"/>
    <x:col min="12" max="12" width="113.43000030517578" hidden="0" customWidth="1"/>
  </x:cols>
  <x:sheetData>
    <x:row r="1" ht="36" customHeight="1">
      <x:c r="A1" s="18" t="str">
        <x:v>Material ID</x:v>
      </x:c>
      <x:c r="B1" s="18" t="str">
        <x:v>Module ID</x:v>
      </x:c>
      <x:c r="C1" s="18" t="str">
        <x:v>Module Name</x:v>
      </x:c>
      <x:c r="D1" s="18" t="str">
        <x:v>Level</x:v>
      </x:c>
      <x:c r="E1" s="18" t="str">
        <x:v>Type</x:v>
      </x:c>
      <x:c r="F1" s="18" t="str">
        <x:v>Material Title</x:v>
      </x:c>
      <x:c r="G1" s="18" t="str">
        <x:v>Description</x:v>
      </x:c>
      <x:c r="H1" s="18" t="str">
        <x:v>When Recommended</x:v>
      </x:c>
      <x:c r="I1" s="18" t="str">
        <x:v>GenAI Use</x:v>
      </x:c>
      <x:c r="J1" s="25" t="str">
        <x:v>Author / Source</x:v>
      </x:c>
      <x:c r="K1" s="25" t="str">
        <x:v>ISBN / Identifier</x:v>
      </x:c>
      <x:c r="L1" s="25" t="str">
        <x:v>Source URL / Note</x:v>
      </x:c>
    </x:row>
    <x:row r="2" ht="60" customHeight="1">
      <x:c r="A2" s="26" t="str">
        <x:v>MAT-01</x:v>
      </x:c>
      <x:c r="B2" s="26" t="str">
        <x:v>M1</x:v>
      </x:c>
      <x:c r="C2" s="26" t="str">
        <x:v>Workbook Navigation &amp; Formatting</x:v>
      </x:c>
      <x:c r="D2" s="26" t="str">
        <x:v>Beginner</x:v>
      </x:c>
      <x:c r="E2" s="26" t="str">
        <x:v>Lesson</x:v>
      </x:c>
      <x:c r="F2" s="26" t="str">
        <x:v>Workbook Basics Quick Start</x:v>
      </x:c>
      <x:c r="G2" s="26" t="str">
        <x:v>Open, save, rename sheets, move across tabs, and understand basic workbook structure.</x:v>
      </x:c>
      <x:c r="H2" s="26" t="str">
        <x:v>Use before taking the diagnostic if the student has almost no Excel background.</x:v>
      </x:c>
      <x:c r="I2" s="26" t="str">
        <x:v>AI can summarize the lesson in beginner language and generate one quick navigation drill.</x:v>
      </x:c>
      <x:c r="J2" s="25" t="str">
        <x:v>Microsoft Support</x:v>
      </x:c>
      <x:c r="K2" s="25" t="str">
        <x:v>N/A - web resource</x:v>
      </x:c>
      <x:c r="L2" s="25" t="str">
        <x:v>https://support.microsoft.com/en-us/excel</x:v>
      </x:c>
    </x:row>
    <x:row r="3" ht="60" customHeight="1">
      <x:c r="A3" s="26" t="str">
        <x:v>MAT-02</x:v>
      </x:c>
      <x:c r="B3" s="26" t="str">
        <x:v>M1</x:v>
      </x:c>
      <x:c r="C3" s="26" t="str">
        <x:v>Workbook Navigation &amp; Formatting</x:v>
      </x:c>
      <x:c r="D3" s="26" t="str">
        <x:v>Beginner</x:v>
      </x:c>
      <x:c r="E3" s="26" t="str">
        <x:v>Practice</x:v>
      </x:c>
      <x:c r="F3" s="26" t="str">
        <x:v>Filter, Sort, and Freeze Panes Mini Exercise</x:v>
      </x:c>
      <x:c r="G3" s="26" t="str">
        <x:v>Practice filtering vendor transactions, sorting by date, and freezing the header row.</x:v>
      </x:c>
      <x:c r="H3" s="26" t="str">
        <x:v>Recommended when the student misses Q01 or Q02.</x:v>
      </x:c>
      <x:c r="I3" s="26" t="str">
        <x:v>AI can create a new mini dataset and step-by-step exercise.</x:v>
      </x:c>
      <x:c r="J3" s="25" t="str">
        <x:v>Microsoft Support</x:v>
      </x:c>
      <x:c r="K3" s="25" t="str">
        <x:v>N/A - web resource</x:v>
      </x:c>
      <x:c r="L3" s="25" t="str">
        <x:v>https://support.microsoft.com/en-us/office/filter-data-in-a-range-or-table-in-excel-01832226-31b5-4568-8806-38c37dcc180e</x:v>
      </x:c>
    </x:row>
    <x:row r="4" ht="60" customHeight="1">
      <x:c r="A4" s="26" t="str">
        <x:v>MAT-03</x:v>
      </x:c>
      <x:c r="B4" s="26" t="str">
        <x:v>M1</x:v>
      </x:c>
      <x:c r="C4" s="26" t="str">
        <x:v>Workbook Navigation &amp; Formatting</x:v>
      </x:c>
      <x:c r="D4" s="26" t="str">
        <x:v>Beginner</x:v>
      </x:c>
      <x:c r="E4" s="26" t="str">
        <x:v>Lesson</x:v>
      </x:c>
      <x:c r="F4" s="26" t="str">
        <x:v>Number Formatting and Clean Workbook Standards</x:v>
      </x:c>
      <x:c r="G4" s="26" t="str">
        <x:v>Learn common formats: currency, percentage, date, decimal, and readable table layout.</x:v>
      </x:c>
      <x:c r="H4" s="26" t="str">
        <x:v>Recommended when the student misses Q03.</x:v>
      </x:c>
      <x:c r="I4" s="26" t="str">
        <x:v>AI can explain why formatting matters for professional workpapers.</x:v>
      </x:c>
      <x:c r="J4" s="25" t="str">
        <x:v>Microsoft Support</x:v>
      </x:c>
      <x:c r="K4" s="25" t="str">
        <x:v>N/A - web resource</x:v>
      </x:c>
      <x:c r="L4" s="25" t="str">
        <x:v>https://support.microsoft.com/en-us/office/change-the-format-of-a-cell-0a45ff85-ee24-4276-94e8-aed6083e8050</x:v>
      </x:c>
    </x:row>
    <x:row r="5" ht="60" customHeight="1">
      <x:c r="A5" s="26" t="str">
        <x:v>MAT-04</x:v>
      </x:c>
      <x:c r="B5" s="26" t="str">
        <x:v>M2</x:v>
      </x:c>
      <x:c r="C5" s="26" t="str">
        <x:v>Formula Basics &amp; References</x:v>
      </x:c>
      <x:c r="D5" s="26" t="str">
        <x:v>Beginner</x:v>
      </x:c>
      <x:c r="E5" s="26" t="str">
        <x:v>Lesson</x:v>
      </x:c>
      <x:c r="F5" s="26" t="str">
        <x:v>Absolute Reference Mini Lesson</x:v>
      </x:c>
      <x:c r="G5" s="26" t="str">
        <x:v>Learn relative references, absolute references, and when to use $ in formulas.</x:v>
      </x:c>
      <x:c r="H5" s="26" t="str">
        <x:v>Recommended when the student misses Q04.</x:v>
      </x:c>
      <x:c r="I5" s="26" t="str">
        <x:v>AI can generate formula examples and explain what changes when copied down or across.</x:v>
      </x:c>
      <x:c r="J5" s="25" t="str">
        <x:v>Microsoft Support</x:v>
      </x:c>
      <x:c r="K5" s="25" t="str">
        <x:v>N/A - web resource</x:v>
      </x:c>
      <x:c r="L5" s="25" t="str">
        <x:v>https://support.microsoft.com/en-us/office/switch-between-relative-and-absolute-references-981f5871-7864-42cc-b3f0-41ffa10cc6fc</x:v>
      </x:c>
    </x:row>
    <x:row r="6" ht="60" customHeight="1">
      <x:c r="A6" s="26" t="str">
        <x:v>MAT-05</x:v>
      </x:c>
      <x:c r="B6" s="26" t="str">
        <x:v>M2</x:v>
      </x:c>
      <x:c r="C6" s="26" t="str">
        <x:v>Formula Basics &amp; References</x:v>
      </x:c>
      <x:c r="D6" s="26" t="str">
        <x:v>Beginner to Intermediate</x:v>
      </x:c>
      <x:c r="E6" s="26" t="str">
        <x:v>Practice</x:v>
      </x:c>
      <x:c r="F6" s="26" t="str">
        <x:v>IF, SUMIFS, and COUNTIFS Starter Practice</x:v>
      </x:c>
      <x:c r="G6" s="26" t="str">
        <x:v>Practice basic decision formulas and category-based summaries.</x:v>
      </x:c>
      <x:c r="H6" s="26" t="str">
        <x:v>Recommended when the student misses Q05 or struggles with formulas.</x:v>
      </x:c>
      <x:c r="I6" s="26" t="str">
        <x:v>AI can generate practice questions at beginner or intermediate difficulty.</x:v>
      </x:c>
      <x:c r="J6" s="25" t="str">
        <x:v>Microsoft Support</x:v>
      </x:c>
      <x:c r="K6" s="25" t="str">
        <x:v>N/A - web resource</x:v>
      </x:c>
      <x:c r="L6" s="25" t="str">
        <x:v>https://support.microsoft.com/en-us/office/if-function-69aed7c9-4e8a-4755-a9bc-aa8bbff73be2</x:v>
      </x:c>
    </x:row>
    <x:row r="7" ht="60" customHeight="1">
      <x:c r="A7" s="26" t="str">
        <x:v>MAT-06</x:v>
      </x:c>
      <x:c r="B7" s="26" t="str">
        <x:v>M2/M4</x:v>
      </x:c>
      <x:c r="C7" s="26" t="str">
        <x:v>Formula Basics + Accounting Workflow</x:v>
      </x:c>
      <x:c r="D7" s="26" t="str">
        <x:v>Intermediate</x:v>
      </x:c>
      <x:c r="E7" s="26" t="str">
        <x:v>Practice</x:v>
      </x:c>
      <x:c r="F7" s="26" t="str">
        <x:v>Formula Audit: Spot Hardcodes and Broken Links</x:v>
      </x:c>
      <x:c r="G7" s="26" t="str">
        <x:v>Review a mock workpaper and identify hardcoded values, broken formulas, and missing support.</x:v>
      </x:c>
      <x:c r="H7" s="26" t="str">
        <x:v>Recommended when the student misses Q06 or Q16.</x:v>
      </x:c>
      <x:c r="I7" s="26" t="str">
        <x:v>AI can explain why each issue matters in audit or accounting documentation.</x:v>
      </x:c>
      <x:c r="J7" s="25" t="str">
        <x:v>Instructor-created case</x:v>
      </x:c>
      <x:c r="K7" s="25" t="str">
        <x:v>N/A - original course material</x:v>
      </x:c>
      <x:c r="L7" s="25" t="str">
        <x:v>No ISBN. Custom practice case built for this prototype.</x:v>
      </x:c>
    </x:row>
    <x:row r="8" ht="60" customHeight="1">
      <x:c r="A8" s="26" t="str">
        <x:v>MAT-07</x:v>
      </x:c>
      <x:c r="B8" s="26" t="str">
        <x:v>M3</x:v>
      </x:c>
      <x:c r="C8" s="26" t="str">
        <x:v>Lookup &amp; Matching</x:v>
      </x:c>
      <x:c r="D8" s="26" t="str">
        <x:v>Intermediate</x:v>
      </x:c>
      <x:c r="E8" s="26" t="str">
        <x:v>Lesson</x:v>
      </x:c>
      <x:c r="F8" s="26" t="str">
        <x:v>XLOOKUP vs VLOOKUP Matching Guide</x:v>
      </x:c>
      <x:c r="G8" s="26" t="str">
        <x:v>Learn how lookup functions retrieve related data across tables.</x:v>
      </x:c>
      <x:c r="H8" s="26" t="str">
        <x:v>Recommended when the student misses Q07 or Q09.</x:v>
      </x:c>
      <x:c r="I8" s="26" t="str">
        <x:v>AI can generate a matching scenario using invoices, customers, vendors, or accounts.</x:v>
      </x:c>
      <x:c r="J8" s="25" t="str">
        <x:v>Microsoft Support</x:v>
      </x:c>
      <x:c r="K8" s="25" t="str">
        <x:v>N/A - web resource</x:v>
      </x:c>
      <x:c r="L8" s="25" t="str">
        <x:v>https://support.microsoft.com/en-us/office/xlookup-function-b7fd680e-6d10-43e6-84f9-88eae8bf5929</x:v>
      </x:c>
    </x:row>
    <x:row r="9" ht="60" customHeight="1">
      <x:c r="A9" s="26" t="str">
        <x:v>MAT-08</x:v>
      </x:c>
      <x:c r="B9" s="26" t="str">
        <x:v>M3</x:v>
      </x:c>
      <x:c r="C9" s="26" t="str">
        <x:v>Lookup &amp; Matching</x:v>
      </x:c>
      <x:c r="D9" s="26" t="str">
        <x:v>Intermediate</x:v>
      </x:c>
      <x:c r="E9" s="26" t="str">
        <x:v>Practice</x:v>
      </x:c>
      <x:c r="F9" s="26" t="str">
        <x:v>Matching IDs and Data Type Issues</x:v>
      </x:c>
      <x:c r="G9" s="26" t="str">
        <x:v>Practice fixing lookup problems caused by text-vs-number mismatches or inconsistent IDs.</x:v>
      </x:c>
      <x:c r="H9" s="26" t="str">
        <x:v>Recommended when the student misses Q08.</x:v>
      </x:c>
      <x:c r="I9" s="26" t="str">
        <x:v>AI can diagnose likely causes of failed matching and suggest troubleshooting steps.</x:v>
      </x:c>
      <x:c r="J9" s="25" t="str">
        <x:v>Microsoft Support</x:v>
      </x:c>
      <x:c r="K9" s="25" t="str">
        <x:v>N/A - web resource</x:v>
      </x:c>
      <x:c r="L9" s="25" t="str">
        <x:v>https://support.microsoft.com/en-us/office/xlookup-function-b7fd680e-6d10-43e6-84f9-88eae8bf5929</x:v>
      </x:c>
    </x:row>
    <x:row r="10" ht="60" customHeight="1">
      <x:c r="A10" s="26" t="str">
        <x:v>MAT-09</x:v>
      </x:c>
      <x:c r="B10" s="26" t="str">
        <x:v>M4</x:v>
      </x:c>
      <x:c r="C10" s="26" t="str">
        <x:v>Accounting Workflow</x:v>
      </x:c>
      <x:c r="D10" s="26" t="str">
        <x:v>Intermediate</x:v>
      </x:c>
      <x:c r="E10" s="26" t="str">
        <x:v>Practice</x:v>
      </x:c>
      <x:c r="F10" s="26" t="str">
        <x:v>Tie-Out and Reconciliation Case</x:v>
      </x:c>
      <x:c r="G10" s="26" t="str">
        <x:v>Practice agreeing a balance across a support schedule, GL extract, and workpaper.</x:v>
      </x:c>
      <x:c r="H10" s="26" t="str">
        <x:v>Recommended when the student misses Q10 or Q11.</x:v>
      </x:c>
      <x:c r="I10" s="26" t="str">
        <x:v>AI can generate a realistic audit-style case with guided feedback.</x:v>
      </x:c>
      <x:c r="J10" s="25" t="str">
        <x:v>Instructor-created case</x:v>
      </x:c>
      <x:c r="K10" s="25" t="str">
        <x:v>N/A - original course material</x:v>
      </x:c>
      <x:c r="L10" s="25" t="str">
        <x:v>No ISBN. Custom tie-out and reconciliation practice case.</x:v>
      </x:c>
    </x:row>
    <x:row r="11" ht="60" customHeight="1">
      <x:c r="A11" s="26" t="str">
        <x:v>MAT-10</x:v>
      </x:c>
      <x:c r="B11" s="26" t="str">
        <x:v>M4</x:v>
      </x:c>
      <x:c r="C11" s="26" t="str">
        <x:v>Accounting Workflow</x:v>
      </x:c>
      <x:c r="D11" s="26" t="str">
        <x:v>Intermediate</x:v>
      </x:c>
      <x:c r="E11" s="26" t="str">
        <x:v>Exercise</x:v>
      </x:c>
      <x:c r="F11" s="26" t="str">
        <x:v>Roll-Forward Schedule Walkthrough</x:v>
      </x:c>
      <x:c r="G11" s="26" t="str">
        <x:v>Learn how beginning balance, additions, reductions, and ending balance connect.</x:v>
      </x:c>
      <x:c r="H11" s="26" t="str">
        <x:v>Recommended when the student misses Q12.</x:v>
      </x:c>
      <x:c r="I11" s="26" t="str">
        <x:v>AI can generate a roll-forward template and explain the movement in plain English.</x:v>
      </x:c>
      <x:c r="J11" s="25" t="str">
        <x:v>Instructor-created case</x:v>
      </x:c>
      <x:c r="K11" s="25" t="str">
        <x:v>N/A - original course material</x:v>
      </x:c>
      <x:c r="L11" s="25" t="str">
        <x:v>No ISBN. Custom roll-forward walkthrough for accounting workflow practice.</x:v>
      </x:c>
    </x:row>
    <x:row r="12" ht="60" customHeight="1">
      <x:c r="A12" s="26" t="str">
        <x:v>MAT-11</x:v>
      </x:c>
      <x:c r="B12" s="26" t="str">
        <x:v>M5</x:v>
      </x:c>
      <x:c r="C12" s="26" t="str">
        <x:v>Data Summary &amp; Analysis</x:v>
      </x:c>
      <x:c r="D12" s="26" t="str">
        <x:v>Intermediate</x:v>
      </x:c>
      <x:c r="E12" s="26" t="str">
        <x:v>Exercise</x:v>
      </x:c>
      <x:c r="F12" s="26" t="str">
        <x:v>PivotTable for Transaction Summary</x:v>
      </x:c>
      <x:c r="G12" s="26" t="str">
        <x:v>Use a PivotTable to summarize transaction data by account, vendor, or month.</x:v>
      </x:c>
      <x:c r="H12" s="26" t="str">
        <x:v>Recommended when the student misses Q13.</x:v>
      </x:c>
      <x:c r="I12" s="26" t="str">
        <x:v>AI can generate a small dataset and ask the student to summarize it.</x:v>
      </x:c>
      <x:c r="J12" s="25" t="str">
        <x:v>Microsoft Support</x:v>
      </x:c>
      <x:c r="K12" s="25" t="str">
        <x:v>N/A - web resource</x:v>
      </x:c>
      <x:c r="L12" s="25" t="str">
        <x:v>https://support.microsoft.com/en-gb/office/create-a-pivottable-to-analyze-worksheet-data-a9a84538-bfe9-40a9-a8e9-f99134456576</x:v>
      </x:c>
    </x:row>
    <x:row r="13" ht="60" customHeight="1">
      <x:c r="A13" s="26" t="str">
        <x:v>MAT-12</x:v>
      </x:c>
      <x:c r="B13" s="26" t="str">
        <x:v>M5</x:v>
      </x:c>
      <x:c r="C13" s="26" t="str">
        <x:v>Data Summary &amp; Analysis</x:v>
      </x:c>
      <x:c r="D13" s="26" t="str">
        <x:v>Intermediate</x:v>
      </x:c>
      <x:c r="E13" s="26" t="str">
        <x:v>Practice</x:v>
      </x:c>
      <x:c r="F13" s="26" t="str">
        <x:v>Variance Analysis and Exception Review</x:v>
      </x:c>
      <x:c r="G13" s="26" t="str">
        <x:v>Compare actual vs budget or current year vs prior year and flag unusual changes.</x:v>
      </x:c>
      <x:c r="H13" s="26" t="str">
        <x:v>Recommended when the student misses Q14 or Q15.</x:v>
      </x:c>
      <x:c r="I13" s="26" t="str">
        <x:v>AI can create variance explanations and targeted exception-review exercises.</x:v>
      </x:c>
      <x:c r="J13" s="25" t="str">
        <x:v>Instructor-created case</x:v>
      </x:c>
      <x:c r="K13" s="25" t="str">
        <x:v>N/A - original course material</x:v>
      </x:c>
      <x:c r="L13" s="25" t="str">
        <x:v>No ISBN. Custom variance-analysis exercise built for this prototype.</x:v>
      </x:c>
    </x:row>
    <x:row r="14" ht="60" customHeight="1">
      <x:c r="A14" s="26" t="str">
        <x:v>MAT-13</x:v>
      </x:c>
      <x:c r="B14" s="26" t="str">
        <x:v>M6</x:v>
      </x:c>
      <x:c r="C14" s="26" t="str">
        <x:v>Business Jargon &amp; Professional Context</x:v>
      </x:c>
      <x:c r="D14" s="26" t="str">
        <x:v>Beginner</x:v>
      </x:c>
      <x:c r="E14" s="26" t="str">
        <x:v>Explanation</x:v>
      </x:c>
      <x:c r="F14" s="26" t="str">
        <x:v>Business Jargon Context Cards</x:v>
      </x:c>
      <x:c r="G14" s="26" t="str">
        <x:v>Define terms like hardcode, support, workpaper, tickmark, deliverable, and walkthrough.</x:v>
      </x:c>
      <x:c r="H14" s="26" t="str">
        <x:v>Recommended when the student misses Q16 or other jargon questions.</x:v>
      </x:c>
      <x:c r="I14" s="26" t="str">
        <x:v>AI can generate classroom, internship, and client-service examples for each term.</x:v>
      </x:c>
      <x:c r="J14" s="25" t="str">
        <x:v>Instructor-created context cards</x:v>
      </x:c>
      <x:c r="K14" s="25" t="str">
        <x:v>N/A - original course material</x:v>
      </x:c>
      <x:c r="L14" s="25" t="str">
        <x:v>No ISBN. Custom jargon cards designed for business-school onboarding.</x:v>
      </x:c>
    </x:row>
    <x:row r="15" ht="60" customHeight="1">
      <x:c r="A15" s="26" t="str">
        <x:v>MAT-14</x:v>
      </x:c>
      <x:c r="B15" s="26" t="str">
        <x:v>M6</x:v>
      </x:c>
      <x:c r="C15" s="26" t="str">
        <x:v>Business Jargon &amp; Professional Context</x:v>
      </x:c>
      <x:c r="D15" s="26" t="str">
        <x:v>Intermediate</x:v>
      </x:c>
      <x:c r="E15" s="26" t="str">
        <x:v>Lesson</x:v>
      </x:c>
      <x:c r="F15" s="26" t="str">
        <x:v>Covenant, Bridge, Support, and Materiality in Practice</x:v>
      </x:c>
      <x:c r="G15" s="26" t="str">
        <x:v>Learn how common finance/accounting terms appear in real work.</x:v>
      </x:c>
      <x:c r="H15" s="26" t="str">
        <x:v>Recommended when the student misses Q17 or Q18.</x:v>
      </x:c>
      <x:c r="I15" s="26" t="str">
        <x:v>AI can generate examples tied to audit, valuation, banking, or coursework.</x:v>
      </x:c>
      <x:c r="J15" s="25" t="str">
        <x:v>Instructor-created lesson</x:v>
      </x:c>
      <x:c r="K15" s="25" t="str">
        <x:v>N/A - original course material</x:v>
      </x:c>
      <x:c r="L15" s="25" t="str">
        <x:v>No ISBN. Custom lesson built around accounting and finance workplace vocabulary.</x:v>
      </x:c>
    </x:row>
    <x:row r="16" ht="60" customHeight="1">
      <x:c r="A16" s="26" t="str">
        <x:v>MAT-15</x:v>
      </x:c>
      <x:c r="B16" s="26" t="str">
        <x:v>M7</x:v>
      </x:c>
      <x:c r="C16" s="26" t="str">
        <x:v>Optional Advanced Analytics</x:v>
      </x:c>
      <x:c r="D16" s="26" t="str">
        <x:v>Advanced</x:v>
      </x:c>
      <x:c r="E16" s="26" t="str">
        <x:v>Challenge</x:v>
      </x:c>
      <x:c r="F16" s="26" t="str">
        <x:v>Power Query Optional Challenge</x:v>
      </x:c>
      <x:c r="G16" s="26" t="str">
        <x:v>Clean and transform a small dataset using Power Query or explain when automation is useful.</x:v>
      </x:c>
      <x:c r="H16" s="26" t="str">
        <x:v>Recommended only after the student passes core readiness.</x:v>
      </x:c>
      <x:c r="I16" s="26" t="str">
        <x:v>AI can generate stretch tasks for advanced students who should not repeat basics.</x:v>
      </x:c>
      <x:c r="J16" s="25" t="str">
        <x:v>Microsoft Support</x:v>
      </x:c>
      <x:c r="K16" s="25" t="str">
        <x:v>N/A - web resource</x:v>
      </x:c>
      <x:c r="L16" s="25" t="str">
        <x:v>https://support.microsoft.com/en-us/office/about-power-query-in-excel-7104fbee-9e62-4cb9-a02e-5bfb1a6c536a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2" hidden="0" customWidth="1"/>
    <x:col min="5" max="5" width="28" hidden="0" customWidth="1"/>
    <x:col min="6" max="6" width="16" hidden="0" customWidth="1"/>
    <x:col min="7" max="7" width="10" hidden="0" customWidth="1"/>
  </x:cols>
  <x:sheetData>
    <x:row r="1" ht="36" customHeight="1">
      <x:c r="A1" s="18" t="str">
        <x:v>Question ID</x:v>
      </x:c>
      <x:c r="B1" s="18" t="str">
        <x:v>Student Answer</x:v>
      </x:c>
      <x:c r="C1" s="18" t="str">
        <x:v>Correct Answer</x:v>
      </x:c>
      <x:c r="D1" s="18" t="str">
        <x:v>Module ID</x:v>
      </x:c>
      <x:c r="E1" s="18" t="str">
        <x:v>Module Name</x:v>
      </x:c>
      <x:c r="F1" s="18" t="str">
        <x:v>Difficulty</x:v>
      </x:c>
      <x:c r="G1" s="18" t="str">
        <x:v>Correct?</x:v>
      </x:c>
    </x:row>
    <x:row r="2">
      <x:c r="A2" s="26" t="str">
        <x:v>Q01</x:v>
      </x:c>
      <x:c r="B2" s="26" t="str">
        <x:v>B</x:v>
      </x:c>
      <x:c r="C2" s="26" t="str">
        <x:f>VLOOKUP(A2,'Question Bank'!$A:$L,10,FALSE)</x:f>
        <x:v>B</x:v>
      </x:c>
      <x:c r="D2" s="26" t="str">
        <x:f>VLOOKUP(A2,'Question Bank'!$A:$L,2,FALSE)</x:f>
        <x:v>M1</x:v>
      </x:c>
      <x:c r="E2" s="26" t="str">
        <x:f>VLOOKUP(A2,'Question Bank'!$A:$L,3,FALSE)</x:f>
        <x:v>Workbook Navigation &amp; Formatting</x:v>
      </x:c>
      <x:c r="F2" s="26" t="str">
        <x:f>VLOOKUP(A2,'Question Bank'!$A:$L,4,FALSE)</x:f>
        <x:v>Beginner</x:v>
      </x:c>
      <x:c r="G2" s="26" t="n">
        <x:f>IF(B2=C2,1,0)</x:f>
        <x:v>1</x:v>
      </x:c>
    </x:row>
    <x:row r="3">
      <x:c r="A3" s="26" t="str">
        <x:v>Q02</x:v>
      </x:c>
      <x:c r="B3" s="26" t="str">
        <x:v>A</x:v>
      </x:c>
      <x:c r="C3" s="26" t="str">
        <x:f>VLOOKUP(A3,'Question Bank'!$A:$L,10,FALSE)</x:f>
        <x:v>A</x:v>
      </x:c>
      <x:c r="D3" s="26" t="str">
        <x:f>VLOOKUP(A3,'Question Bank'!$A:$L,2,FALSE)</x:f>
        <x:v>M1</x:v>
      </x:c>
      <x:c r="E3" s="26" t="str">
        <x:f>VLOOKUP(A3,'Question Bank'!$A:$L,3,FALSE)</x:f>
        <x:v>Workbook Navigation &amp; Formatting</x:v>
      </x:c>
      <x:c r="F3" s="26" t="str">
        <x:f>VLOOKUP(A3,'Question Bank'!$A:$L,4,FALSE)</x:f>
        <x:v>Beginner</x:v>
      </x:c>
      <x:c r="G3" s="26" t="n">
        <x:f>IF(B3=C3,1,0)</x:f>
        <x:v>1</x:v>
      </x:c>
    </x:row>
    <x:row r="4">
      <x:c r="A4" s="26" t="str">
        <x:v>Q03</x:v>
      </x:c>
      <x:c r="B4" s="26" t="str">
        <x:v>A</x:v>
      </x:c>
      <x:c r="C4" s="26" t="str">
        <x:f>VLOOKUP(A4,'Question Bank'!$A:$L,10,FALSE)</x:f>
        <x:v>B</x:v>
      </x:c>
      <x:c r="D4" s="26" t="str">
        <x:f>VLOOKUP(A4,'Question Bank'!$A:$L,2,FALSE)</x:f>
        <x:v>M1</x:v>
      </x:c>
      <x:c r="E4" s="26" t="str">
        <x:f>VLOOKUP(A4,'Question Bank'!$A:$L,3,FALSE)</x:f>
        <x:v>Workbook Navigation &amp; Formatting</x:v>
      </x:c>
      <x:c r="F4" s="26" t="str">
        <x:f>VLOOKUP(A4,'Question Bank'!$A:$L,4,FALSE)</x:f>
        <x:v>Beginner</x:v>
      </x:c>
      <x:c r="G4" s="26" t="n">
        <x:f>IF(B4=C4,1,0)</x:f>
        <x:v>0</x:v>
      </x:c>
    </x:row>
    <x:row r="5">
      <x:c r="A5" s="26" t="str">
        <x:v>Q04</x:v>
      </x:c>
      <x:c r="B5" s="26" t="str">
        <x:v>D</x:v>
      </x:c>
      <x:c r="C5" s="26" t="str">
        <x:f>VLOOKUP(A5,'Question Bank'!$A:$L,10,FALSE)</x:f>
        <x:v>D</x:v>
      </x:c>
      <x:c r="D5" s="26" t="str">
        <x:f>VLOOKUP(A5,'Question Bank'!$A:$L,2,FALSE)</x:f>
        <x:v>M2</x:v>
      </x:c>
      <x:c r="E5" s="26" t="str">
        <x:f>VLOOKUP(A5,'Question Bank'!$A:$L,3,FALSE)</x:f>
        <x:v>Formula Basics &amp; References</x:v>
      </x:c>
      <x:c r="F5" s="26" t="str">
        <x:f>VLOOKUP(A5,'Question Bank'!$A:$L,4,FALSE)</x:f>
        <x:v>Beginner</x:v>
      </x:c>
      <x:c r="G5" s="26" t="n">
        <x:f>IF(B5=C5,1,0)</x:f>
        <x:v>1</x:v>
      </x:c>
    </x:row>
    <x:row r="6">
      <x:c r="A6" s="26" t="str">
        <x:v>Q05</x:v>
      </x:c>
      <x:c r="B6" s="26" t="str">
        <x:v>A</x:v>
      </x:c>
      <x:c r="C6" s="26" t="str">
        <x:f>VLOOKUP(A6,'Question Bank'!$A:$L,10,FALSE)</x:f>
        <x:v>A</x:v>
      </x:c>
      <x:c r="D6" s="26" t="str">
        <x:f>VLOOKUP(A6,'Question Bank'!$A:$L,2,FALSE)</x:f>
        <x:v>M2</x:v>
      </x:c>
      <x:c r="E6" s="26" t="str">
        <x:f>VLOOKUP(A6,'Question Bank'!$A:$L,3,FALSE)</x:f>
        <x:v>Formula Basics &amp; References</x:v>
      </x:c>
      <x:c r="F6" s="26" t="str">
        <x:f>VLOOKUP(A6,'Question Bank'!$A:$L,4,FALSE)</x:f>
        <x:v>Beginner</x:v>
      </x:c>
      <x:c r="G6" s="26" t="n">
        <x:f>IF(B6=C6,1,0)</x:f>
        <x:v>1</x:v>
      </x:c>
    </x:row>
    <x:row r="7">
      <x:c r="A7" s="26" t="str">
        <x:v>Q06</x:v>
      </x:c>
      <x:c r="B7" s="26" t="str">
        <x:v>A</x:v>
      </x:c>
      <x:c r="C7" s="26" t="str">
        <x:f>VLOOKUP(A7,'Question Bank'!$A:$L,10,FALSE)</x:f>
        <x:v>B</x:v>
      </x:c>
      <x:c r="D7" s="26" t="str">
        <x:f>VLOOKUP(A7,'Question Bank'!$A:$L,2,FALSE)</x:f>
        <x:v>M2</x:v>
      </x:c>
      <x:c r="E7" s="26" t="str">
        <x:f>VLOOKUP(A7,'Question Bank'!$A:$L,3,FALSE)</x:f>
        <x:v>Formula Basics &amp; References</x:v>
      </x:c>
      <x:c r="F7" s="26" t="str">
        <x:f>VLOOKUP(A7,'Question Bank'!$A:$L,4,FALSE)</x:f>
        <x:v>Intermediate</x:v>
      </x:c>
      <x:c r="G7" s="26" t="n">
        <x:f>IF(B7=C7,1,0)</x:f>
        <x:v>0</x:v>
      </x:c>
    </x:row>
    <x:row r="8">
      <x:c r="A8" s="26" t="str">
        <x:v>Q07</x:v>
      </x:c>
      <x:c r="B8" s="26" t="str">
        <x:v>A</x:v>
      </x:c>
      <x:c r="C8" s="26" t="str">
        <x:f>VLOOKUP(A8,'Question Bank'!$A:$L,10,FALSE)</x:f>
        <x:v>A</x:v>
      </x:c>
      <x:c r="D8" s="26" t="str">
        <x:f>VLOOKUP(A8,'Question Bank'!$A:$L,2,FALSE)</x:f>
        <x:v>M3</x:v>
      </x:c>
      <x:c r="E8" s="26" t="str">
        <x:f>VLOOKUP(A8,'Question Bank'!$A:$L,3,FALSE)</x:f>
        <x:v>Lookup &amp; Matching</x:v>
      </x:c>
      <x:c r="F8" s="26" t="str">
        <x:f>VLOOKUP(A8,'Question Bank'!$A:$L,4,FALSE)</x:f>
        <x:v>Intermediate</x:v>
      </x:c>
      <x:c r="G8" s="26" t="n">
        <x:f>IF(B8=C8,1,0)</x:f>
        <x:v>1</x:v>
      </x:c>
    </x:row>
    <x:row r="9">
      <x:c r="A9" s="26" t="str">
        <x:v>Q08</x:v>
      </x:c>
      <x:c r="B9" s="26" t="str">
        <x:v>B</x:v>
      </x:c>
      <x:c r="C9" s="26" t="str">
        <x:f>VLOOKUP(A9,'Question Bank'!$A:$L,10,FALSE)</x:f>
        <x:v>A</x:v>
      </x:c>
      <x:c r="D9" s="26" t="str">
        <x:f>VLOOKUP(A9,'Question Bank'!$A:$L,2,FALSE)</x:f>
        <x:v>M3</x:v>
      </x:c>
      <x:c r="E9" s="26" t="str">
        <x:f>VLOOKUP(A9,'Question Bank'!$A:$L,3,FALSE)</x:f>
        <x:v>Lookup &amp; Matching</x:v>
      </x:c>
      <x:c r="F9" s="26" t="str">
        <x:f>VLOOKUP(A9,'Question Bank'!$A:$L,4,FALSE)</x:f>
        <x:v>Intermediate</x:v>
      </x:c>
      <x:c r="G9" s="26" t="n">
        <x:f>IF(B9=C9,1,0)</x:f>
        <x:v>0</x:v>
      </x:c>
    </x:row>
    <x:row r="10">
      <x:c r="A10" s="26" t="str">
        <x:v>Q09</x:v>
      </x:c>
      <x:c r="B10" s="26" t="str">
        <x:v>B</x:v>
      </x:c>
      <x:c r="C10" s="26" t="str">
        <x:f>VLOOKUP(A10,'Question Bank'!$A:$L,10,FALSE)</x:f>
        <x:v>A</x:v>
      </x:c>
      <x:c r="D10" s="26" t="str">
        <x:f>VLOOKUP(A10,'Question Bank'!$A:$L,2,FALSE)</x:f>
        <x:v>M3</x:v>
      </x:c>
      <x:c r="E10" s="26" t="str">
        <x:f>VLOOKUP(A10,'Question Bank'!$A:$L,3,FALSE)</x:f>
        <x:v>Lookup &amp; Matching</x:v>
      </x:c>
      <x:c r="F10" s="26" t="str">
        <x:f>VLOOKUP(A10,'Question Bank'!$A:$L,4,FALSE)</x:f>
        <x:v>Advanced</x:v>
      </x:c>
      <x:c r="G10" s="26" t="n">
        <x:f>IF(B10=C10,1,0)</x:f>
        <x:v>0</x:v>
      </x:c>
    </x:row>
    <x:row r="11">
      <x:c r="A11" s="26" t="str">
        <x:v>Q10</x:v>
      </x:c>
      <x:c r="B11" s="26" t="str">
        <x:v>B</x:v>
      </x:c>
      <x:c r="C11" s="26" t="str">
        <x:f>VLOOKUP(A11,'Question Bank'!$A:$L,10,FALSE)</x:f>
        <x:v>B</x:v>
      </x:c>
      <x:c r="D11" s="26" t="str">
        <x:f>VLOOKUP(A11,'Question Bank'!$A:$L,2,FALSE)</x:f>
        <x:v>M4</x:v>
      </x:c>
      <x:c r="E11" s="26" t="str">
        <x:f>VLOOKUP(A11,'Question Bank'!$A:$L,3,FALSE)</x:f>
        <x:v>Accounting Workflow</x:v>
      </x:c>
      <x:c r="F11" s="26" t="str">
        <x:f>VLOOKUP(A11,'Question Bank'!$A:$L,4,FALSE)</x:f>
        <x:v>Intermediate</x:v>
      </x:c>
      <x:c r="G11" s="26" t="n">
        <x:f>IF(B11=C11,1,0)</x:f>
        <x:v>1</x:v>
      </x:c>
    </x:row>
    <x:row r="12">
      <x:c r="A12" s="26" t="str">
        <x:v>Q11</x:v>
      </x:c>
      <x:c r="B12" s="26" t="str">
        <x:v>B</x:v>
      </x:c>
      <x:c r="C12" s="26" t="str">
        <x:f>VLOOKUP(A12,'Question Bank'!$A:$L,10,FALSE)</x:f>
        <x:v>A</x:v>
      </x:c>
      <x:c r="D12" s="26" t="str">
        <x:f>VLOOKUP(A12,'Question Bank'!$A:$L,2,FALSE)</x:f>
        <x:v>M4</x:v>
      </x:c>
      <x:c r="E12" s="26" t="str">
        <x:f>VLOOKUP(A12,'Question Bank'!$A:$L,3,FALSE)</x:f>
        <x:v>Accounting Workflow</x:v>
      </x:c>
      <x:c r="F12" s="26" t="str">
        <x:f>VLOOKUP(A12,'Question Bank'!$A:$L,4,FALSE)</x:f>
        <x:v>Intermediate</x:v>
      </x:c>
      <x:c r="G12" s="26" t="n">
        <x:f>IF(B12=C12,1,0)</x:f>
        <x:v>0</x:v>
      </x:c>
    </x:row>
    <x:row r="13">
      <x:c r="A13" s="26" t="str">
        <x:v>Q12</x:v>
      </x:c>
      <x:c r="B13" s="26" t="str">
        <x:v>B</x:v>
      </x:c>
      <x:c r="C13" s="26" t="str">
        <x:f>VLOOKUP(A13,'Question Bank'!$A:$L,10,FALSE)</x:f>
        <x:v>A</x:v>
      </x:c>
      <x:c r="D13" s="26" t="str">
        <x:f>VLOOKUP(A13,'Question Bank'!$A:$L,2,FALSE)</x:f>
        <x:v>M4</x:v>
      </x:c>
      <x:c r="E13" s="26" t="str">
        <x:f>VLOOKUP(A13,'Question Bank'!$A:$L,3,FALSE)</x:f>
        <x:v>Accounting Workflow</x:v>
      </x:c>
      <x:c r="F13" s="26" t="str">
        <x:f>VLOOKUP(A13,'Question Bank'!$A:$L,4,FALSE)</x:f>
        <x:v>Intermediate</x:v>
      </x:c>
      <x:c r="G13" s="26" t="n">
        <x:f>IF(B13=C13,1,0)</x:f>
        <x:v>0</x:v>
      </x:c>
    </x:row>
    <x:row r="14">
      <x:c r="A14" s="26" t="str">
        <x:v>Q13</x:v>
      </x:c>
      <x:c r="B14" s="26" t="str">
        <x:v>A</x:v>
      </x:c>
      <x:c r="C14" s="26" t="str">
        <x:f>VLOOKUP(A14,'Question Bank'!$A:$L,10,FALSE)</x:f>
        <x:v>A</x:v>
      </x:c>
      <x:c r="D14" s="26" t="str">
        <x:f>VLOOKUP(A14,'Question Bank'!$A:$L,2,FALSE)</x:f>
        <x:v>M5</x:v>
      </x:c>
      <x:c r="E14" s="26" t="str">
        <x:f>VLOOKUP(A14,'Question Bank'!$A:$L,3,FALSE)</x:f>
        <x:v>Data Summary &amp; Analysis</x:v>
      </x:c>
      <x:c r="F14" s="26" t="str">
        <x:f>VLOOKUP(A14,'Question Bank'!$A:$L,4,FALSE)</x:f>
        <x:v>Intermediate</x:v>
      </x:c>
      <x:c r="G14" s="26" t="n">
        <x:f>IF(B14=C14,1,0)</x:f>
        <x:v>1</x:v>
      </x:c>
    </x:row>
    <x:row r="15">
      <x:c r="A15" s="26" t="str">
        <x:v>Q14</x:v>
      </x:c>
      <x:c r="B15" s="26" t="str">
        <x:v>B</x:v>
      </x:c>
      <x:c r="C15" s="26" t="str">
        <x:f>VLOOKUP(A15,'Question Bank'!$A:$L,10,FALSE)</x:f>
        <x:v>A</x:v>
      </x:c>
      <x:c r="D15" s="26" t="str">
        <x:f>VLOOKUP(A15,'Question Bank'!$A:$L,2,FALSE)</x:f>
        <x:v>M5</x:v>
      </x:c>
      <x:c r="E15" s="26" t="str">
        <x:f>VLOOKUP(A15,'Question Bank'!$A:$L,3,FALSE)</x:f>
        <x:v>Data Summary &amp; Analysis</x:v>
      </x:c>
      <x:c r="F15" s="26" t="str">
        <x:f>VLOOKUP(A15,'Question Bank'!$A:$L,4,FALSE)</x:f>
        <x:v>Intermediate</x:v>
      </x:c>
      <x:c r="G15" s="26" t="n">
        <x:f>IF(B15=C15,1,0)</x:f>
        <x:v>0</x:v>
      </x:c>
    </x:row>
    <x:row r="16">
      <x:c r="A16" s="26" t="str">
        <x:v>Q15</x:v>
      </x:c>
      <x:c r="B16" s="26" t="str">
        <x:v>B</x:v>
      </x:c>
      <x:c r="C16" s="26" t="str">
        <x:f>VLOOKUP(A16,'Question Bank'!$A:$L,10,FALSE)</x:f>
        <x:v>A</x:v>
      </x:c>
      <x:c r="D16" s="26" t="str">
        <x:f>VLOOKUP(A16,'Question Bank'!$A:$L,2,FALSE)</x:f>
        <x:v>M5</x:v>
      </x:c>
      <x:c r="E16" s="26" t="str">
        <x:f>VLOOKUP(A16,'Question Bank'!$A:$L,3,FALSE)</x:f>
        <x:v>Data Summary &amp; Analysis</x:v>
      </x:c>
      <x:c r="F16" s="26" t="str">
        <x:f>VLOOKUP(A16,'Question Bank'!$A:$L,4,FALSE)</x:f>
        <x:v>Intermediate</x:v>
      </x:c>
      <x:c r="G16" s="26" t="n">
        <x:f>IF(B16=C16,1,0)</x:f>
        <x:v>0</x:v>
      </x:c>
    </x:row>
    <x:row r="17">
      <x:c r="A17" s="26" t="str">
        <x:v>Q16</x:v>
      </x:c>
      <x:c r="B17" s="26" t="str">
        <x:v>A</x:v>
      </x:c>
      <x:c r="C17" s="26" t="str">
        <x:f>VLOOKUP(A17,'Question Bank'!$A:$L,10,FALSE)</x:f>
        <x:v>A</x:v>
      </x:c>
      <x:c r="D17" s="26" t="str">
        <x:f>VLOOKUP(A17,'Question Bank'!$A:$L,2,FALSE)</x:f>
        <x:v>M6</x:v>
      </x:c>
      <x:c r="E17" s="26" t="str">
        <x:f>VLOOKUP(A17,'Question Bank'!$A:$L,3,FALSE)</x:f>
        <x:v>Business Jargon &amp; Professional Context</x:v>
      </x:c>
      <x:c r="F17" s="26" t="str">
        <x:f>VLOOKUP(A17,'Question Bank'!$A:$L,4,FALSE)</x:f>
        <x:v>Beginner</x:v>
      </x:c>
      <x:c r="G17" s="26" t="n">
        <x:f>IF(B17=C17,1,0)</x:f>
        <x:v>1</x:v>
      </x:c>
    </x:row>
    <x:row r="18">
      <x:c r="A18" s="26" t="str">
        <x:v>Q17</x:v>
      </x:c>
      <x:c r="B18" s="26" t="str">
        <x:v>B</x:v>
      </x:c>
      <x:c r="C18" s="26" t="str">
        <x:f>VLOOKUP(A18,'Question Bank'!$A:$L,10,FALSE)</x:f>
        <x:v>A</x:v>
      </x:c>
      <x:c r="D18" s="26" t="str">
        <x:f>VLOOKUP(A18,'Question Bank'!$A:$L,2,FALSE)</x:f>
        <x:v>M6</x:v>
      </x:c>
      <x:c r="E18" s="26" t="str">
        <x:f>VLOOKUP(A18,'Question Bank'!$A:$L,3,FALSE)</x:f>
        <x:v>Business Jargon &amp; Professional Context</x:v>
      </x:c>
      <x:c r="F18" s="26" t="str">
        <x:f>VLOOKUP(A18,'Question Bank'!$A:$L,4,FALSE)</x:f>
        <x:v>Intermediate</x:v>
      </x:c>
      <x:c r="G18" s="26" t="n">
        <x:f>IF(B18=C18,1,0)</x:f>
        <x:v>0</x:v>
      </x:c>
    </x:row>
    <x:row r="19">
      <x:c r="A19" s="26" t="str">
        <x:v>Q18</x:v>
      </x:c>
      <x:c r="B19" s="26" t="str">
        <x:v>B</x:v>
      </x:c>
      <x:c r="C19" s="26" t="str">
        <x:f>VLOOKUP(A19,'Question Bank'!$A:$L,10,FALSE)</x:f>
        <x:v>A</x:v>
      </x:c>
      <x:c r="D19" s="26" t="str">
        <x:f>VLOOKUP(A19,'Question Bank'!$A:$L,2,FALSE)</x:f>
        <x:v>M6</x:v>
      </x:c>
      <x:c r="E19" s="26" t="str">
        <x:f>VLOOKUP(A19,'Question Bank'!$A:$L,3,FALSE)</x:f>
        <x:v>Business Jargon &amp; Professional Context</x:v>
      </x:c>
      <x:c r="F19" s="26" t="str">
        <x:f>VLOOKUP(A19,'Question Bank'!$A:$L,4,FALSE)</x:f>
        <x:v>Intermediate</x:v>
      </x:c>
      <x:c r="G19" s="26" t="n">
        <x:f>IF(B19=C19,1,0)</x:f>
        <x:v>0</x:v>
      </x:c>
    </x:row>
    <x:row r="23">
      <x:c r="A23" s="18" t="str">
        <x:v>Overall Score</x:v>
      </x:c>
      <x:c r="B23" s="18" t="str">
        <x:v>Overall Level</x:v>
      </x:c>
      <x:c r="C23" s="18" t="str">
        <x:v>Routing Decision</x:v>
      </x:c>
    </x:row>
    <x:row r="24">
      <x:c r="A24" s="35" t="n">
        <x:f>SUM(G2:G19)/COUNTA(G2:G19)</x:f>
        <x:v>0.4444444444444444</x:v>
      </x:c>
      <x:c r="B24" t="str">
        <x:f>IF(A24&gt;=0.8,"Advanced / Pass",IF(A24&gt;=0.5,"Intermediate","Beginner"))</x:f>
        <x:v>Beginner</x:v>
      </x:c>
      <x:c r="C24" t="str">
        <x:f>IF(B24="Advanced / Pass","Pass core modules; show optional challenge","Generate study guide for weak modules")</x:f>
        <x:v>Generate study guide for weak modules</x:v>
      </x:c>
    </x:row>
    <x:row r="26">
      <x:c r="A26" s="18" t="str">
        <x:v>Module ID</x:v>
      </x:c>
      <x:c r="B26" s="18" t="str">
        <x:v>Module Name</x:v>
      </x:c>
      <x:c r="C26" s="18" t="str">
        <x:v>Total Questions</x:v>
      </x:c>
      <x:c r="D26" s="18" t="str">
        <x:v>Correct</x:v>
      </x:c>
      <x:c r="E26" s="18" t="str">
        <x:v>Accuracy</x:v>
      </x:c>
      <x:c r="F26" s="18" t="str">
        <x:v>Status</x:v>
      </x:c>
    </x:row>
    <x:row r="27">
      <x:c r="A27" t="str">
        <x:v>M1</x:v>
      </x:c>
      <x:c r="B27" t="str">
        <x:v>Workbook Navigation &amp; Formatting</x:v>
      </x:c>
      <x:c r="C27" t="n">
        <x:f>COUNTIF($D$2:$D$19,A27)</x:f>
        <x:v>3</x:v>
      </x:c>
      <x:c r="D27" t="n">
        <x:f>SUMIF($D$2:$D$19,A27,$G$2:$G$19)</x:f>
        <x:v>2</x:v>
      </x:c>
      <x:c r="E27" s="35" t="n">
        <x:f>IF(C27=0,"",D27/C27)</x:f>
        <x:v>0.6666666666666666</x:v>
      </x:c>
      <x:c r="F27" t="str">
        <x:f>IF(E27&lt;0.7,"Weak","Ready")</x:f>
        <x:v>Weak</x:v>
      </x:c>
    </x:row>
    <x:row r="28">
      <x:c r="A28" t="str">
        <x:v>M2</x:v>
      </x:c>
      <x:c r="B28" t="str">
        <x:v>Formula Basics &amp; References</x:v>
      </x:c>
      <x:c r="C28" t="n">
        <x:f>COUNTIF($D$2:$D$19,A28)</x:f>
        <x:v>3</x:v>
      </x:c>
      <x:c r="D28" t="n">
        <x:f>SUMIF($D$2:$D$19,A28,$G$2:$G$19)</x:f>
        <x:v>2</x:v>
      </x:c>
      <x:c r="E28" s="35" t="n">
        <x:f>IF(C28=0,"",D28/C28)</x:f>
        <x:v>0.6666666666666666</x:v>
      </x:c>
      <x:c r="F28" t="str">
        <x:f>IF(E28&lt;0.7,"Weak","Ready")</x:f>
        <x:v>Weak</x:v>
      </x:c>
    </x:row>
    <x:row r="29">
      <x:c r="A29" t="str">
        <x:v>M3</x:v>
      </x:c>
      <x:c r="B29" t="str">
        <x:v>Lookup &amp; Matching</x:v>
      </x:c>
      <x:c r="C29" t="n">
        <x:f>COUNTIF($D$2:$D$19,A29)</x:f>
        <x:v>3</x:v>
      </x:c>
      <x:c r="D29" t="n">
        <x:f>SUMIF($D$2:$D$19,A29,$G$2:$G$19)</x:f>
        <x:v>1</x:v>
      </x:c>
      <x:c r="E29" s="35" t="n">
        <x:f>IF(C29=0,"",D29/C29)</x:f>
        <x:v>0.3333333333333333</x:v>
      </x:c>
      <x:c r="F29" t="str">
        <x:f>IF(E29&lt;0.7,"Weak","Ready")</x:f>
        <x:v>Weak</x:v>
      </x:c>
    </x:row>
    <x:row r="30">
      <x:c r="A30" t="str">
        <x:v>M4</x:v>
      </x:c>
      <x:c r="B30" t="str">
        <x:v>Accounting Workflow</x:v>
      </x:c>
      <x:c r="C30" t="n">
        <x:f>COUNTIF($D$2:$D$19,A30)</x:f>
        <x:v>3</x:v>
      </x:c>
      <x:c r="D30" t="n">
        <x:f>SUMIF($D$2:$D$19,A30,$G$2:$G$19)</x:f>
        <x:v>1</x:v>
      </x:c>
      <x:c r="E30" s="35" t="n">
        <x:f>IF(C30=0,"",D30/C30)</x:f>
        <x:v>0.3333333333333333</x:v>
      </x:c>
      <x:c r="F30" t="str">
        <x:f>IF(E30&lt;0.7,"Weak","Ready")</x:f>
        <x:v>Weak</x:v>
      </x:c>
    </x:row>
    <x:row r="31">
      <x:c r="A31" t="str">
        <x:v>M5</x:v>
      </x:c>
      <x:c r="B31" t="str">
        <x:v>Data Summary &amp; Analysis</x:v>
      </x:c>
      <x:c r="C31" t="n">
        <x:f>COUNTIF($D$2:$D$19,A31)</x:f>
        <x:v>3</x:v>
      </x:c>
      <x:c r="D31" t="n">
        <x:f>SUMIF($D$2:$D$19,A31,$G$2:$G$19)</x:f>
        <x:v>1</x:v>
      </x:c>
      <x:c r="E31" s="35" t="n">
        <x:f>IF(C31=0,"",D31/C31)</x:f>
        <x:v>0.3333333333333333</x:v>
      </x:c>
      <x:c r="F31" t="str">
        <x:f>IF(E31&lt;0.7,"Weak","Ready")</x:f>
        <x:v>Weak</x:v>
      </x:c>
    </x:row>
    <x:row r="32">
      <x:c r="A32" t="str">
        <x:v>M6</x:v>
      </x:c>
      <x:c r="B32" t="str">
        <x:v>Business Jargon &amp; Professional Context</x:v>
      </x:c>
      <x:c r="C32" t="n">
        <x:f>COUNTIF($D$2:$D$19,A32)</x:f>
        <x:v>3</x:v>
      </x:c>
      <x:c r="D32" t="n">
        <x:f>SUMIF($D$2:$D$19,A32,$G$2:$G$19)</x:f>
        <x:v>1</x:v>
      </x:c>
      <x:c r="E32" s="35" t="n">
        <x:f>IF(C32=0,"",D32/C32)</x:f>
        <x:v>0.3333333333333333</x:v>
      </x:c>
      <x:c r="F32" t="str">
        <x:f>IF(E32&lt;0.7,"Weak","Ready")</x:f>
        <x:v>Weak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6" customHeight="1">
      <x:c r="A1" s="18" t="str">
        <x:v>Section</x:v>
      </x:c>
      <x:c r="B1" s="18" t="str">
        <x:v>Content</x:v>
      </x:c>
    </x:row>
    <x:row r="2" ht="60" customHeight="1">
      <x:c r="A2" s="26" t="str">
        <x:v>System Role</x:v>
      </x:c>
      <x:c r="B2" s="26" t="str">
        <x:v>You are an AI study coach for new accounting and finance students preparing for business school and Big 4-style Excel workflows.</x:v>
      </x:c>
    </x:row>
    <x:row r="3" ht="60" customHeight="1">
      <x:c r="A3" s="26" t="str">
        <x:v>Inputs</x:v>
      </x:c>
      <x:c r="B3" s="26" t="str">
        <x:v>Student level, overall score, weak modules, strong modules, missed questions, recommended materials.</x:v>
      </x:c>
    </x:row>
    <x:row r="4" ht="60" customHeight="1">
      <x:c r="A4" s="26" t="str">
        <x:v>Prompt Template</x:v>
      </x:c>
      <x:c r="B4" s="26" t="str">
        <x:v>Generate a short personalized study guide. Include: (1) current readiness level, (2) what the student is doing well, (3) weak areas and why they matter in accounting/finance work, (4) recommended materials in order, (5) one targeted practice exercise, and (6) whether the student should reassess or pass.</x:v>
      </x:c>
    </x:row>
    <x:row r="5" ht="60" customHeight="1">
      <x:c r="A5" s="26" t="str">
        <x:v>Guardrail</x:v>
      </x:c>
      <x:c r="B5" s="26" t="str">
        <x:v>Do not invent modules outside the competency map. Use the tagged recommended materials first. Keep the tone beginner-friendly and practical.</x:v>
      </x:c>
    </x:row>
    <x:row r="6" ht="60" customHeight="1">
      <x:c r="A6" s="26" t="str">
        <x:v>Example Output Format</x:v>
      </x:c>
      <x:c r="B6" s="26" t="str">
        <x:v>Readiness Level: Intermediate. Weak Areas: Lookup &amp; Matching, Accounting Workflow. Study Plan: 1) Review XLOOKUP guide, 2) Complete tie-out case, 3) Reassess with 3 targeted questions.</x:v>
      </x:c>
    </x:row>
  </x:sheetData>
  <x:pageMargins left="0.7" right="0.7" top="0.75" bottom="0.75" header="0.3" footer="0.3"/>
</x:worksheet>
</file>